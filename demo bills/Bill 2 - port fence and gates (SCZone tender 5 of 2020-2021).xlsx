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Downloads\OnTap hackathon\demo bills\"/>
    </mc:Choice>
  </mc:AlternateContent>
  <xr:revisionPtr revIDLastSave="0" documentId="13_ncr:1_{AE94699D-48C9-4E20-9CFC-913D1FDD7052}" xr6:coauthVersionLast="47" xr6:coauthVersionMax="47" xr10:uidLastSave="{00000000-0000-0000-0000-000000000000}"/>
  <bookViews>
    <workbookView xWindow="-110" yWindow="-110" windowWidth="25820" windowHeight="13900" xr2:uid="{00000000-000D-0000-FFFF-FFFF00000000}"/>
  </bookViews>
  <sheets>
    <sheet name="المقايسة" sheetId="1" r:id="rId1"/>
  </sheets>
  <definedNames>
    <definedName name="_xlnm.Print_Titles" localSheetId="0">المقايسة!4:4</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 i="1" l="1"/>
  <c r="F28" i="1"/>
  <c r="F26" i="1"/>
  <c r="F25" i="1"/>
  <c r="F24" i="1"/>
  <c r="F23" i="1"/>
  <c r="F22" i="1"/>
  <c r="F21" i="1"/>
  <c r="F20" i="1"/>
  <c r="F19" i="1"/>
  <c r="F18" i="1"/>
  <c r="F17" i="1"/>
  <c r="F16" i="1"/>
  <c r="F15" i="1"/>
  <c r="F14" i="1"/>
  <c r="F13" i="1"/>
  <c r="F12" i="1"/>
  <c r="F11" i="1"/>
  <c r="F10" i="1"/>
  <c r="F9" i="1"/>
  <c r="F8" i="1"/>
  <c r="F7" i="1"/>
  <c r="F6" i="1"/>
  <c r="F30" i="1" l="1"/>
</calcChain>
</file>

<file path=xl/sharedStrings.xml><?xml version="1.0" encoding="utf-8"?>
<sst xmlns="http://schemas.openxmlformats.org/spreadsheetml/2006/main" count="57" uniqueCount="38">
  <si>
    <t>قائمة الكميات لعملية إنشاء سور بطول 276 م وتعلية ورفع كفاءة عدد (9) بوابات وإنشاء عدد (1) برج مراقبة بدلاً من المتهالك ورفع كفاءة عدد (5) برج مراقبة بميناء غرب بورسعيد</t>
  </si>
  <si>
    <t>الهيئة العامة للمنطقة الاقتصادية لقناة السويس - المناقصة العامة رقم (5) لسنة 2020/2021</t>
  </si>
  <si>
    <t>م</t>
  </si>
  <si>
    <t>بيان الأعمال</t>
  </si>
  <si>
    <t>الوحدة</t>
  </si>
  <si>
    <t>الكمية</t>
  </si>
  <si>
    <t>الفئة (جنيه)</t>
  </si>
  <si>
    <t>الإجمالي (جنيه)</t>
  </si>
  <si>
    <t>أولاً: الأعمال المدنية</t>
  </si>
  <si>
    <t>بالمتر المسطح فك سور جمركى والبند شامل فصل الأجزاء الملحومة عن الخرسانات بطريقة صحيحة وفصل الشبك عن الحديد ولفه بطريقة هندسية مع وزن الحديد المفكوك بعلم وزن ونقله إلى مخازن الهيئة مع ترك إشارة من العلب بطول 25 سم، والبند يشمل عمل سور مؤقت للتأمين الجمركى مكان السور المفكوك عبارة عن بردورة خرسانية بارتفاع لا يقل عن 50 سم يعلوها بانوهات ملحومة من الصاج بارتفاع لا يقل عن 2.5 م مثبتة بشكالات ناحية الميناء للمنطقة الجارى العمل بها بطريقة يوافق عليها مهندس الإشراف والجهات الأمنية والجمركية، على أن يقدم للمراجعة ويعتمد قبل تنفيذ البند، ولا يتم فك السور المؤقت إلا بعد الانتهاء من عمل المنطقة التى تم إنشاؤها، وكل ما يلزم لنهو الأعمال طبقاً للمواصفات وتعليمات مهندس الإشراف مما جميعه بالمتر المسطح.</t>
  </si>
  <si>
    <t>م2</t>
  </si>
  <si>
    <t>بالمتر المسطح توريد وتركيب سلك شبك معدنى جمركى اتساع الفتحة 4 × 4 سم وقطر السلك 5 مم من حديد مجلفن طبقاً للرسومات مع التثبيت بالسلك المجلفن قطر 2 مم، والسعر يشمل ومحمل عليه الدهان بمادة إيبوكسية وجهين بسمك 300 ميكرون ووجهين ببوية زيت مقاومة للصدأ باللون المطلوب، وكذا أعمال التثبيت والرباط وكل ما يلزم لنهو الأعمال طبقاً لتعليمات جهاز الإشراف.</t>
  </si>
  <si>
    <t>بالعدد توريد وتزريع أشاير حديد 16 مم بعدد 6 / متر طولى بطول 50 سم منها 15 سم داخل الخرسانة القديمة، والسعر يشمل التثقيب بالمثقاب الكهربائى وإزالة الأتربة من داخل الفتحات بواسطة البلاور الهوائى، وكذا مادة التزريع المكونة من خليط من مادة إيبوكسية (الإيدبوند) على أن يعتمد المهندس المشرف المادة الإيبوكسية قبل التوريد وكذا أسلوب الرص والتوزيع.</t>
  </si>
  <si>
    <t>عدد</t>
  </si>
  <si>
    <t>بالكجم توريد وتركيب ودهان حديد لزوم السور الجمركى وتعلية البوابات وأعمال سلالم أبراج المراقبة للميناء بنفس القطاعات والأشكال الموجودة فى السور القديم سواء علب أو زوايا أو حديد تسليح بارتفاع 3 م عدل وبارتفاع 1.5 م مائل وطبقاً للرسومات المرفقة، مع الالتزام بعمل الحرب على الساخن والشيكالات، والسعر يشمل ومحمل عليه الدهان بمواد إيبوكسية مانعة للصدأ يتم اعتمادها قبل التوريد وجهين بسمك 300 ميكرون والنقل والتركيب وجميع خردوات التركيب وأعمال اللحامات بالقوس الكهربى والربط وخلافه، على أن يكون التخريم باستخدام المثاقيب الآلية، وكذلك تثبيت العلب داخل خرسانة الطبان بعمق لا يقل عن 30 سم وطبقاً للرسومات المرفقة وكل ما يلزم لنهو العمل جيداً طبقاً لمواصفات الكود المصرى وطبقاً لأصول الصناعة ولتعليمات جهاز الإشراف.</t>
  </si>
  <si>
    <t>بالمقطوعية إصلاح البوابة المنزلقة مماثلة لقطاعات التعلية لبوابة رقم (40) الجمركى، والبند يشمل تغيير القضيب القديم السفلى بآخر مماثل له بنفس القطاع وجميع ما يلزم من أعمال القضيب وعمل الخرسانات اللازمة أسفل القضيب وحوله، وكذلك تغيير رولمان العجل وتغيير الدليل العلوى وتغيير جميع الإكسسوارات الأخرى طبقاً لتعليمات جهاز الإشراف، ومحمل على البند تغيير التالف أو المعوج بأخرى مماثلة لقطاعات البوابة وجميع ما يلزم من أعمال القضيب العلوى من ضبط وإصلاح واستعدال وضبط الباب رأسياً وأفقياً، وجميع ما يلزم لأعمال الدهانات (مراشمة باستخدام الرمالة – صنفرة – وجهين بمادة إيبوكسية – وجهين باللون المطلوب من مادة إيبوكسية مقاومة للصدأ)، والبند يشمل جميع الأعمال اللازمة للبوابة بما فيها التسكيك حتى يقوم الباب بأداء مهامه بكفاءة تامة طبقاً لأصول الصناعة والمواصفات وتعليمات جهاز الإشراف.</t>
  </si>
  <si>
    <t>مقطوعية</t>
  </si>
  <si>
    <t>بالمتر المسطح فك الأبواب القديمة واستعدالها على الساخن، ومحمل على البند تغيير التالف من قطاعات البوابة من مفصلات وترابيس وقوايم ومصبعات وصاج، وكذلك الصنفرة والمراشمة باستخدام الرمال ودهان البوابة وجهين بمادة إيبوكسية ووجهين باللون المطلوب من مادة مقاومة للصدأ، واستعدال المناسيب أسفل الأبواب وعمل مجرى فى الأرضية وتركيب عجل لزوم فتح وإغلاق البوابة وإعادة التركيب بعد عمل جميع الإصلاحات اللازمة وكل ما يلزم لنهو الأعمال طبقاً للمواصفات وتعليمات جهاز الإشراف.</t>
  </si>
  <si>
    <t>بالمتر المكعب حفر وإزالة لأى نوع من التربة لزوم أعمال السور الجمركى والأبواب وأبراج الحراسة، والثمن يشمل نقل المخلفات غير الصالحة للردم والناتجة من أعمال الحفر إلى المقالب العمومية، والفئة تشمل دك وتسوية قاع الحفر طبقاً للمواصفات وتعليمات جهاز الإشراف، والقياس هندسى جميعه بالمتر المكعب.</t>
  </si>
  <si>
    <t>م3</t>
  </si>
  <si>
    <t>بالمتر المكعب ردم برمال نظيفة لملء الفراغات مكان الحفر، والردم يكون على طبقات لا يزيد سمك الطبقة عن 25 سم مع الدمك الجيد والرش بالمياه لكل طبقة وكل ما يلزم لنهو العمل طبقاً للمواصفات وتعليمات مهندس الإشراف مما جميعه بالمتر المكعب.</t>
  </si>
  <si>
    <t>بالمتر المكعب تكسير وإزالة خرسانة مسلحة أو عادية أو أى طبقات متحجرة وبأى سمك، والبند يشمل إزالة الحديد التالف بالطرق اليدوية ونقل المخلفات للمقالب العمومية وكل ما يلزم لنهو الأعمال طبقاً للمواصفات وتعليمات مهندس الإشراف، على أن يلتزم المقاول بإعادة الشىء لأصله فى حالة قيامه بتكسير خارج ما يحدده مهندس الإشراف.</t>
  </si>
  <si>
    <t>بالمتر المسطح توريد وعمل طبقة أساس من الدقشوم كسر محاجر متدرج من سن 2 إلى سن 6 طبقاً لمواصفات الهيئة العامة للطرق والكبارى على أن يتم التنفيذ بسمك لا يقل عن 25 سم، والبند يشمل أعمال الفرد والرش بالمياه والدمك على طبقتين باستخدام الهراس الميكانيكى.</t>
  </si>
  <si>
    <t>بالمتر المكعب توريد وعمل خرسانة عادية لزوم قواعد الشيكالات وقواعد أبراج الحراسة بمكونات لا تقل نسبتها عن 0.8 م3 سن، 0.4 م3 رمل، 300 كجم أسمنت بورتلاندى مقاوم للكبريتات بحيث تعطى مقاومة مميزة للخرسانة لا تقل عن 250 كجم/سم2 بعد 28 يوم، والفئة تشمل الشدة الخشبية والدمك والمس والمعالجة وعمل جميع الاختبارات الفنية المطلوبة وكل ما يلزم لنهو الأعمال طبقاً للمواصفات وتعليمات المهندس المشرف، والقياس هندسى مما جميعه بالمتر المكعب.</t>
  </si>
  <si>
    <t>بالمتر المكعب توريد وعمل خرسانة مسلحة لزوم السمل الجديد وأبراج الحراسة بمكونات لا تقل نسبتها عن 0.8 م3 سن، 0.4 م3 رمل، 350 كجم أسمنت بورتلاندى عادى تعطى إجهاداً لا يقل عن 300 كجم/سم2 بعد 28 يوم، والتسليح طبقاً للرسومات الهندسية المرفقة، والفئة تشمل الدهان بمادة إيبوكسية معتمدة قبل التوريد لربط الخرسانة الجديدة بالقديمة وكذا الشدة الخشبية والصب والدمك باستخدام الهزاز الميكانيكى والخلط الميكانيكى والتسوية والمس والمعالجة وعمل جميع الاختبارات الفنية المطلوبة وكل ما يلزم لنهو العمل كاملاً طبقاً للمواصفات والكود المصرى وتعليمات مهندس الإشراف، والقياس هندسى.</t>
  </si>
  <si>
    <t>بالمتر المسطح توريد وعمل خرسانة لزوم البلاطات بسمك لا يقل عن 25 سم وبمقاس لا يتجاوز 3 م × 3 م مكونة من 0.8 م3 سن، 0.4 م3 رمل، 400 كجم أسمنت بورتلاندى مقاوم للكبريتات تعطى إجهاداً لا يقل عن 350 كجم/سم2 بعد 28 يوم، والتسليح والبند يشمل وضع شبكة من حديد التسليح فرش وغطاء 6 × 12 / م2 والتربيط بسلك الرباط وكذا أعمال الصندقة والخلط الميكانيكى والدمك الميكانيكى وأعمال الفرد والمس بالهليكوبتر ورش مادة كيماوية مقاومة للبرى (هاردنر) بمعدل 5 كجم لكل متر مسطح وإضافة مادة الفايبر بمعدل 900 جم لكل متر مكعب والمعالجة وعمل جميع الاختبارات الفنية المطلوبة، وكذا ملء الفواصل بمادة كيماوية تسمح بالتمدد أو الانكماش على أن تعتمد من المهندس المشرف قبل التوريد وكل ما يلزم لنهو العمل طبقاً لأصول الصناعة والمواصفات القياسية وتعليمات جهاز الإشراف.</t>
  </si>
  <si>
    <t>بالمتر المسطح تكسير وتقشير بياض من أى نوع، والسعر يشمل نقل ناتج التكسير إلى المقالب العمومية خارج الميناء.</t>
  </si>
  <si>
    <t>بالمتر المسطح توريد وعمل بياض تخشين سمك متوسط 2 سم بمونة مكونة من 300 كجم أسمنت / م3 رمل، والسعر يشمل الطرطشة العمومية بمونة 450 كجم أسمنت / م3 رمل ومس البياض حسب أصول الصناعة لزوم سمل السور وأبراج الحراسة (واجهة داخلى – خارجى).</t>
  </si>
  <si>
    <t>بالمتر المسطح توريد وعمل دهانات واجهات من أساس أسمنتى من إنتاج بنترا أو ما يماثلها معتمدة باللون والشكل المطلوب، يتم عملها على أسطح التخشين للحوائط بعد تجهيز السطح، والبند يشمل عمل أى مرمات محارة تلزم لتسوية السطح النهائى حسب تعليمات التشغيل المعتمدة لهذه الدهانات من الشركات المنتجة، وتقديم كتالوجات للمنتج المقترح استخدامه حتى يتم تحديد اللون المطلوب، والبند يشمل كل ما يلزم لنهو العمل كاملاً طبقاً للمواصفات الفنية وتعليمات المهندس المشرف، والقياس هندسى مع خصم جميع الفتحات.</t>
  </si>
  <si>
    <t>بالمتر المسطح توريد بياض جرانوليت باللون الذى يحدده مهندسو الهيئة، والسعر يشمل ومحمل عليه الطرطشة العمومية وبطانة بياض التخشين، والبند يشمل تكسير تجاليد الرخام القديم ونقل المخلفات إلى المقالب العمومية، والقياس لما يتم تنفيذه لكل ما تمسه اليد مع خصم مسطح الفتحات بالكامل.</t>
  </si>
  <si>
    <t>بالمتر المسطح توريد وعمل مبانى بالطوب الأسمنتى المصمت على أن يتم اعتماد العينة قبل التوريد لزوم أبراج الحراسة، يلصق بمونة بنسبة 350 كجم أسمنت / م3 رمل طبقاً لأصول الصناعة مما جميعه بالمتر المسطح.</t>
  </si>
  <si>
    <t>بالمقطوعية توريد وإنشاء برج مراقبة طبقاً للرسومات المرفقة، والسعر يشمل إزالة وتكسير البرج المتهالك حتى منسوب التأسيس ونقل المخلفات خارج الميناء والحفر فى التربة وعمل الخرسانة العادية والمسلحة والمبانى والبياض الداخلى والخارجى وقرميد للسقف مع عزل القواعد الخرسانية بالبيتومين وكافة ما يلزم لنهو الأعمال طبقاً لأصول الصناعة وتعليمات جهاز الإشراف.</t>
  </si>
  <si>
    <t>بالمتر المسطح توريد وعمل تكسية من الحجر الفرعونى للواجهة الخارجية وظهر السمل (الجلسة) من عينة معتمدة من طاقم الإشراف، يلصق بمونة بمحتوى أسمنتى لا يقل عن 300 كجم / م3 رمل، والبند محمل عليه الطرطشة العمومية مع إضافة مادة الإيدبوند للربط مع الخرسانة مع عمل الكحلات والنظافة النهائية وكل ما يلزم لنهو العمل طبقاً لأصول الصناعة والكود المصرى والمواصفات، والقياس هندسى مما جميعه بالمتر المسطح.</t>
  </si>
  <si>
    <t>بالمقطوعية إزالة أى نباتات متسلقة بجوار أو حول السور والتى تعوق تنفيذ الأعمال، والبند يشمل إزالة الجذور وقتلها بمواد كيماوية طبقاً لمواصفات وزارة الزراعة وتطهير وتسوية الأرض حتى المنسوب المطلوب وطبقاً للمواصفات الفنية وتعليمات جهاز الإشراف.</t>
  </si>
  <si>
    <t>ثانياً: الأعمال الكهربائية</t>
  </si>
  <si>
    <t>بالعدد توريد وتركيب كشاف واجهات ليد قدرة 200 وات IP65 إنتاج السويدى EGY LUX أو ما يماثله فى الجودة بضمان لا يقل عن عامين لزوم الإضاءة الخارجية لأبراج الحراسة والبوابات، والكشاف مجهز بالعواكس تعليق جانبى كامل بجميع المشتملات، ومحمل عليه سلك التوصيل ترموبلاستيك بقطاع مناسب لقدرة الكشاف حتى أقرب مصدر وتركيب حباية مفتاح لزوم التشغيل والإيقاف والمواسير المناسبة، وذلك طبقاً لاعتماد العينة من مهندس الإشراف والتنفيذ يتم طبقاً للمواصفات الفنية وللأصول الفنية للصناعة وتعليمات مهندس الإشراف.</t>
  </si>
  <si>
    <t>بالعدد تصنيع ذراع إضاءة فردى لزوم تركيب الكشافات على البوابات مدهون وغير قابل للصدأ، وذلك طبقاً لاعتماد العينة من مهندس الإشراف والتنفيذ يتم طبقاً للمواصفات الفنية والأصول الفنية للصناعة وتعليمات مهندس الإشراف.</t>
  </si>
  <si>
    <t>الإجمالي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</si>
</sst>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Calibri"/>
    </font>
    <font>
      <b/>
      <sz val="11"/>
      <name val="Calibri"/>
    </font>
  </fonts>
  <fills count="4">
    <fill>
      <patternFill patternType="none"/>
    </fill>
    <fill>
      <patternFill patternType="gray125"/>
    </fill>
    <fill>
      <patternFill patternType="solid">
        <fgColor rgb="FFD9D9D9"/>
      </patternFill>
    </fill>
    <fill>
      <patternFill patternType="solid">
        <fgColor rgb="FFF2F2F2"/>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right" vertical="top" wrapText="1" readingOrder="2"/>
    </xf>
    <xf numFmtId="0" fontId="0" fillId="0" borderId="1" xfId="0" applyBorder="1" applyAlignment="1">
      <alignment horizontal="center" vertical="top" wrapText="1"/>
    </xf>
    <xf numFmtId="0" fontId="0" fillId="0" borderId="1" xfId="0" applyBorder="1" applyAlignment="1">
      <alignment horizontal="right" vertical="top" wrapText="1" readingOrder="2"/>
    </xf>
    <xf numFmtId="3" fontId="0" fillId="0" borderId="1" xfId="0" applyNumberFormat="1" applyBorder="1" applyAlignment="1">
      <alignment horizontal="center" vertical="top" wrapText="1"/>
    </xf>
    <xf numFmtId="4" fontId="0" fillId="0" borderId="1" xfId="0" applyNumberFormat="1" applyBorder="1" applyAlignment="1">
      <alignment horizontal="center" vertical="top" wrapText="1"/>
    </xf>
    <xf numFmtId="0" fontId="0" fillId="2" borderId="1" xfId="0" applyFill="1" applyBorder="1"/>
    <xf numFmtId="0" fontId="2" fillId="2" borderId="1" xfId="0" applyFont="1" applyFill="1" applyBorder="1"/>
    <xf numFmtId="4" fontId="2" fillId="2" borderId="1" xfId="0" applyNumberFormat="1" applyFont="1" applyFill="1" applyBorder="1"/>
    <xf numFmtId="0" fontId="1" fillId="0" borderId="0" xfId="0" applyFont="1" applyAlignment="1">
      <alignment horizontal="center" vertical="center" wrapText="1" readingOrder="2"/>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rightToLeft="1" tabSelected="1" workbookViewId="0">
      <pane ySplit="4" topLeftCell="A5" activePane="bottomLeft" state="frozen"/>
      <selection pane="bottomLeft" sqref="A1:F1"/>
    </sheetView>
  </sheetViews>
  <sheetFormatPr defaultRowHeight="14.5" x14ac:dyDescent="0.35"/>
  <cols>
    <col min="1" max="1" width="6" customWidth="1"/>
    <col min="2" max="2" width="70" customWidth="1"/>
    <col min="3" max="3" width="10" customWidth="1"/>
    <col min="4" max="4" width="11" customWidth="1"/>
    <col min="5" max="5" width="12" customWidth="1"/>
    <col min="6" max="6" width="15" customWidth="1"/>
  </cols>
  <sheetData>
    <row r="1" spans="1:6" x14ac:dyDescent="0.35">
      <c r="A1" s="11" t="s">
        <v>0</v>
      </c>
      <c r="B1" s="12"/>
      <c r="C1" s="12"/>
      <c r="D1" s="12"/>
      <c r="E1" s="12"/>
      <c r="F1" s="12"/>
    </row>
    <row r="2" spans="1:6" x14ac:dyDescent="0.35">
      <c r="A2" s="11" t="s">
        <v>1</v>
      </c>
      <c r="B2" s="12"/>
      <c r="C2" s="12"/>
      <c r="D2" s="12"/>
      <c r="E2" s="12"/>
      <c r="F2" s="12"/>
    </row>
    <row r="4" spans="1:6" x14ac:dyDescent="0.35">
      <c r="A4" s="1" t="s">
        <v>2</v>
      </c>
      <c r="B4" s="1" t="s">
        <v>3</v>
      </c>
      <c r="C4" s="1" t="s">
        <v>4</v>
      </c>
      <c r="D4" s="1" t="s">
        <v>5</v>
      </c>
      <c r="E4" s="1" t="s">
        <v>6</v>
      </c>
      <c r="F4" s="1" t="s">
        <v>7</v>
      </c>
    </row>
    <row r="5" spans="1:6" x14ac:dyDescent="0.35">
      <c r="A5" s="2"/>
      <c r="B5" s="3" t="s">
        <v>8</v>
      </c>
      <c r="C5" s="2"/>
      <c r="D5" s="2"/>
      <c r="E5" s="2"/>
      <c r="F5" s="2"/>
    </row>
    <row r="6" spans="1:6" ht="116" x14ac:dyDescent="0.35">
      <c r="A6" s="4">
        <v>1</v>
      </c>
      <c r="B6" s="5" t="s">
        <v>9</v>
      </c>
      <c r="C6" s="4" t="s">
        <v>10</v>
      </c>
      <c r="D6" s="6">
        <v>1150</v>
      </c>
      <c r="E6" s="7"/>
      <c r="F6" s="7" t="str">
        <f t="shared" ref="F6:F26" si="0">IF(E6="","",D6*E6)</f>
        <v/>
      </c>
    </row>
    <row r="7" spans="1:6" ht="58" x14ac:dyDescent="0.35">
      <c r="A7" s="4">
        <v>2</v>
      </c>
      <c r="B7" s="5" t="s">
        <v>11</v>
      </c>
      <c r="C7" s="4" t="s">
        <v>10</v>
      </c>
      <c r="D7" s="6">
        <v>1500</v>
      </c>
      <c r="E7" s="7"/>
      <c r="F7" s="7" t="str">
        <f t="shared" si="0"/>
        <v/>
      </c>
    </row>
    <row r="8" spans="1:6" ht="58" x14ac:dyDescent="0.35">
      <c r="A8" s="4">
        <v>3</v>
      </c>
      <c r="B8" s="5" t="s">
        <v>12</v>
      </c>
      <c r="C8" s="4" t="s">
        <v>13</v>
      </c>
      <c r="D8" s="6">
        <v>1700</v>
      </c>
      <c r="E8" s="7"/>
      <c r="F8" s="7" t="str">
        <f t="shared" si="0"/>
        <v/>
      </c>
    </row>
    <row r="9" spans="1:6" ht="116" x14ac:dyDescent="0.35">
      <c r="A9" s="4">
        <v>4</v>
      </c>
      <c r="B9" s="5" t="s">
        <v>14</v>
      </c>
      <c r="C9" s="4" t="s">
        <v>10</v>
      </c>
      <c r="D9" s="6">
        <v>90000</v>
      </c>
      <c r="E9" s="7"/>
      <c r="F9" s="7" t="str">
        <f t="shared" si="0"/>
        <v/>
      </c>
    </row>
    <row r="10" spans="1:6" ht="130.5" x14ac:dyDescent="0.35">
      <c r="A10" s="4">
        <v>5</v>
      </c>
      <c r="B10" s="5" t="s">
        <v>15</v>
      </c>
      <c r="C10" s="4" t="s">
        <v>16</v>
      </c>
      <c r="D10" s="6">
        <v>1</v>
      </c>
      <c r="E10" s="7"/>
      <c r="F10" s="7" t="str">
        <f t="shared" si="0"/>
        <v/>
      </c>
    </row>
    <row r="11" spans="1:6" ht="72.5" x14ac:dyDescent="0.35">
      <c r="A11" s="4">
        <v>6</v>
      </c>
      <c r="B11" s="5" t="s">
        <v>17</v>
      </c>
      <c r="C11" s="4" t="s">
        <v>10</v>
      </c>
      <c r="D11" s="6">
        <v>260</v>
      </c>
      <c r="E11" s="7"/>
      <c r="F11" s="7" t="str">
        <f t="shared" si="0"/>
        <v/>
      </c>
    </row>
    <row r="12" spans="1:6" ht="58" x14ac:dyDescent="0.35">
      <c r="A12" s="4">
        <v>7</v>
      </c>
      <c r="B12" s="5" t="s">
        <v>18</v>
      </c>
      <c r="C12" s="4" t="s">
        <v>19</v>
      </c>
      <c r="D12" s="6">
        <v>150</v>
      </c>
      <c r="E12" s="7"/>
      <c r="F12" s="7" t="str">
        <f t="shared" si="0"/>
        <v/>
      </c>
    </row>
    <row r="13" spans="1:6" ht="43.5" x14ac:dyDescent="0.35">
      <c r="A13" s="4">
        <v>8</v>
      </c>
      <c r="B13" s="5" t="s">
        <v>20</v>
      </c>
      <c r="C13" s="4" t="s">
        <v>19</v>
      </c>
      <c r="D13" s="6">
        <v>140</v>
      </c>
      <c r="E13" s="7"/>
      <c r="F13" s="7" t="str">
        <f t="shared" si="0"/>
        <v/>
      </c>
    </row>
    <row r="14" spans="1:6" ht="58" x14ac:dyDescent="0.35">
      <c r="A14" s="4">
        <v>9</v>
      </c>
      <c r="B14" s="5" t="s">
        <v>21</v>
      </c>
      <c r="C14" s="4" t="s">
        <v>19</v>
      </c>
      <c r="D14" s="6">
        <v>140</v>
      </c>
      <c r="E14" s="7"/>
      <c r="F14" s="7" t="str">
        <f t="shared" si="0"/>
        <v/>
      </c>
    </row>
    <row r="15" spans="1:6" ht="43.5" x14ac:dyDescent="0.35">
      <c r="A15" s="4">
        <v>10</v>
      </c>
      <c r="B15" s="5" t="s">
        <v>22</v>
      </c>
      <c r="C15" s="4" t="s">
        <v>10</v>
      </c>
      <c r="D15" s="6">
        <v>350</v>
      </c>
      <c r="E15" s="7"/>
      <c r="F15" s="7" t="str">
        <f t="shared" si="0"/>
        <v/>
      </c>
    </row>
    <row r="16" spans="1:6" ht="72.5" x14ac:dyDescent="0.35">
      <c r="A16" s="4">
        <v>11</v>
      </c>
      <c r="B16" s="5" t="s">
        <v>23</v>
      </c>
      <c r="C16" s="4" t="s">
        <v>19</v>
      </c>
      <c r="D16" s="6">
        <v>35</v>
      </c>
      <c r="E16" s="7"/>
      <c r="F16" s="7" t="str">
        <f t="shared" si="0"/>
        <v/>
      </c>
    </row>
    <row r="17" spans="1:6" ht="101.5" x14ac:dyDescent="0.35">
      <c r="A17" s="4">
        <v>12</v>
      </c>
      <c r="B17" s="5" t="s">
        <v>24</v>
      </c>
      <c r="C17" s="4" t="s">
        <v>19</v>
      </c>
      <c r="D17" s="6">
        <v>35</v>
      </c>
      <c r="E17" s="7"/>
      <c r="F17" s="7" t="str">
        <f t="shared" si="0"/>
        <v/>
      </c>
    </row>
    <row r="18" spans="1:6" ht="116" x14ac:dyDescent="0.35">
      <c r="A18" s="4">
        <v>13</v>
      </c>
      <c r="B18" s="5" t="s">
        <v>25</v>
      </c>
      <c r="C18" s="4" t="s">
        <v>10</v>
      </c>
      <c r="D18" s="6">
        <v>400</v>
      </c>
      <c r="E18" s="7"/>
      <c r="F18" s="7" t="str">
        <f t="shared" si="0"/>
        <v/>
      </c>
    </row>
    <row r="19" spans="1:6" ht="29" x14ac:dyDescent="0.35">
      <c r="A19" s="4">
        <v>14</v>
      </c>
      <c r="B19" s="5" t="s">
        <v>26</v>
      </c>
      <c r="C19" s="4" t="s">
        <v>10</v>
      </c>
      <c r="D19" s="6">
        <v>400</v>
      </c>
      <c r="E19" s="7"/>
      <c r="F19" s="7" t="str">
        <f t="shared" si="0"/>
        <v/>
      </c>
    </row>
    <row r="20" spans="1:6" ht="43.5" x14ac:dyDescent="0.35">
      <c r="A20" s="4">
        <v>15</v>
      </c>
      <c r="B20" s="5" t="s">
        <v>27</v>
      </c>
      <c r="C20" s="4" t="s">
        <v>10</v>
      </c>
      <c r="D20" s="6">
        <v>550</v>
      </c>
      <c r="E20" s="7"/>
      <c r="F20" s="7" t="str">
        <f t="shared" si="0"/>
        <v/>
      </c>
    </row>
    <row r="21" spans="1:6" ht="87" x14ac:dyDescent="0.35">
      <c r="A21" s="4">
        <v>16</v>
      </c>
      <c r="B21" s="5" t="s">
        <v>28</v>
      </c>
      <c r="C21" s="4" t="s">
        <v>10</v>
      </c>
      <c r="D21" s="6">
        <v>450</v>
      </c>
      <c r="E21" s="7"/>
      <c r="F21" s="7" t="str">
        <f t="shared" si="0"/>
        <v/>
      </c>
    </row>
    <row r="22" spans="1:6" ht="43.5" x14ac:dyDescent="0.35">
      <c r="A22" s="4">
        <v>17</v>
      </c>
      <c r="B22" s="5" t="s">
        <v>29</v>
      </c>
      <c r="C22" s="4" t="s">
        <v>10</v>
      </c>
      <c r="D22" s="6">
        <v>260</v>
      </c>
      <c r="E22" s="7"/>
      <c r="F22" s="7" t="str">
        <f t="shared" si="0"/>
        <v/>
      </c>
    </row>
    <row r="23" spans="1:6" ht="43.5" x14ac:dyDescent="0.35">
      <c r="A23" s="4">
        <v>18</v>
      </c>
      <c r="B23" s="5" t="s">
        <v>30</v>
      </c>
      <c r="C23" s="4" t="s">
        <v>10</v>
      </c>
      <c r="D23" s="6">
        <v>25</v>
      </c>
      <c r="E23" s="7"/>
      <c r="F23" s="7" t="str">
        <f t="shared" si="0"/>
        <v/>
      </c>
    </row>
    <row r="24" spans="1:6" ht="58" x14ac:dyDescent="0.35">
      <c r="A24" s="4">
        <v>19</v>
      </c>
      <c r="B24" s="5" t="s">
        <v>31</v>
      </c>
      <c r="C24" s="4" t="s">
        <v>16</v>
      </c>
      <c r="D24" s="6">
        <v>1</v>
      </c>
      <c r="E24" s="7"/>
      <c r="F24" s="7" t="str">
        <f t="shared" si="0"/>
        <v/>
      </c>
    </row>
    <row r="25" spans="1:6" ht="72.5" x14ac:dyDescent="0.35">
      <c r="A25" s="4">
        <v>20</v>
      </c>
      <c r="B25" s="5" t="s">
        <v>32</v>
      </c>
      <c r="C25" s="4" t="s">
        <v>10</v>
      </c>
      <c r="D25" s="6">
        <v>300</v>
      </c>
      <c r="E25" s="7"/>
      <c r="F25" s="7" t="str">
        <f t="shared" si="0"/>
        <v/>
      </c>
    </row>
    <row r="26" spans="1:6" ht="43.5" x14ac:dyDescent="0.35">
      <c r="A26" s="4">
        <v>21</v>
      </c>
      <c r="B26" s="5" t="s">
        <v>33</v>
      </c>
      <c r="C26" s="4" t="s">
        <v>16</v>
      </c>
      <c r="D26" s="6">
        <v>1</v>
      </c>
      <c r="E26" s="7"/>
      <c r="F26" s="7" t="str">
        <f t="shared" si="0"/>
        <v/>
      </c>
    </row>
    <row r="27" spans="1:6" x14ac:dyDescent="0.35">
      <c r="A27" s="2"/>
      <c r="B27" s="3" t="s">
        <v>34</v>
      </c>
      <c r="C27" s="2"/>
      <c r="D27" s="2"/>
      <c r="E27" s="2"/>
      <c r="F27" s="2"/>
    </row>
    <row r="28" spans="1:6" ht="87" x14ac:dyDescent="0.35">
      <c r="A28" s="4">
        <v>1</v>
      </c>
      <c r="B28" s="5" t="s">
        <v>35</v>
      </c>
      <c r="C28" s="4" t="s">
        <v>13</v>
      </c>
      <c r="D28" s="6">
        <v>20</v>
      </c>
      <c r="E28" s="7"/>
      <c r="F28" s="7" t="str">
        <f>IF(E28="","",D28*E28)</f>
        <v/>
      </c>
    </row>
    <row r="29" spans="1:6" ht="43.5" x14ac:dyDescent="0.35">
      <c r="A29" s="4">
        <v>2</v>
      </c>
      <c r="B29" s="5" t="s">
        <v>36</v>
      </c>
      <c r="C29" s="4" t="s">
        <v>13</v>
      </c>
      <c r="D29" s="6">
        <v>8</v>
      </c>
      <c r="E29" s="7"/>
      <c r="F29" s="7" t="str">
        <f>IF(E29="","",D29*E29)</f>
        <v/>
      </c>
    </row>
    <row r="30" spans="1:6" x14ac:dyDescent="0.35">
      <c r="A30" s="8"/>
      <c r="B30" s="9" t="s">
        <v>37</v>
      </c>
      <c r="C30" s="8"/>
      <c r="D30" s="8"/>
      <c r="E30" s="8"/>
      <c r="F30" s="10">
        <f>SUM(F5:F29)</f>
        <v>0</v>
      </c>
    </row>
  </sheetData>
  <mergeCells count="2">
    <mergeCell ref="A1:F1"/>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المقايسة</vt:lpstr>
      <vt:lpstr>المقايسة!Print_Titles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MINA MINA NAN</cp:lastModifiedBy>
  <dcterms:created xsi:type="dcterms:W3CDTF">2026-09-29T20:31:51Z</dcterms:created>
  <dcterms:modified xsi:type="dcterms:W3CDTF">2026-09-29T20:32:05Z</dcterms:modified>
</cp:coreProperties>
</file>