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ownloads\OnTap hackathon\demo bills\"/>
    </mc:Choice>
  </mc:AlternateContent>
  <xr:revisionPtr revIDLastSave="0" documentId="13_ncr:1_{192088AD-AA97-413E-B0FD-50056DAFE39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المقايسة" sheetId="1" r:id="rId1"/>
  </sheets>
  <definedNames>
    <definedName name="_xlnm.Print_Titles" localSheetId="0">المقايسة!4:4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" i="1" l="1"/>
  <c r="F30" i="1"/>
  <c r="F28" i="1"/>
  <c r="F27" i="1"/>
  <c r="F25" i="1"/>
  <c r="F24" i="1"/>
  <c r="F22" i="1"/>
  <c r="F21" i="1"/>
  <c r="F20" i="1"/>
  <c r="F19" i="1"/>
  <c r="F17" i="1"/>
  <c r="F16" i="1"/>
  <c r="F15" i="1"/>
  <c r="F14" i="1"/>
  <c r="F13" i="1"/>
  <c r="F12" i="1"/>
  <c r="F11" i="1"/>
  <c r="F10" i="1"/>
  <c r="F8" i="1"/>
  <c r="F7" i="1"/>
  <c r="F6" i="1"/>
  <c r="F32" i="1" l="1"/>
</calcChain>
</file>

<file path=xl/sharedStrings.xml><?xml version="1.0" encoding="utf-8"?>
<sst xmlns="http://schemas.openxmlformats.org/spreadsheetml/2006/main" count="57" uniqueCount="38">
  <si>
    <t>مقايسة أعمال - مبنى سكني (بدروم + أرضي + 3 أدوار متكررة + غرف سطح)</t>
  </si>
  <si>
    <t>الأعمال الإنشائية والمباني والعزل والتأسيسات والبياض</t>
  </si>
  <si>
    <t>م</t>
  </si>
  <si>
    <t>بيان الأعمال</t>
  </si>
  <si>
    <t>الوحدة</t>
  </si>
  <si>
    <t>الكمية</t>
  </si>
  <si>
    <t>الفئة (جنيه)</t>
  </si>
  <si>
    <t>الإجمالي (جنيه)</t>
  </si>
  <si>
    <t>أولاً: أعمال الحفر والردم</t>
  </si>
  <si>
    <t>بالمتر المكعب حفر في أي نوع من التربة حتى منسوب التأسيس المطلوب مع نقل ناتج الحفر إلى المقالب العمومية، والفئة تشمل التسوية والتهذيب طبقاً للمواصفات وتعليمات المهندس المشرف.</t>
  </si>
  <si>
    <t>م3</t>
  </si>
  <si>
    <t>بالمتر المكعب توريد وفرد ودمك طبقة إحلال من خليط الرمل والزلط على طبقات لا يزيد سمك الطبقة عن 25 سم مع الرش بالمياه والدمك الميكانيكي حتى الوصول لدرجة الدمك المطلوبة.</t>
  </si>
  <si>
    <t>بالمتر المكعب ردم حول حوائط البدروم بناتج الحفر الصالح على طبقات مع الرش بالمياه والدمك الجيد.</t>
  </si>
  <si>
    <t>ثانياً: أعمال الخرسانات</t>
  </si>
  <si>
    <t>بالمتر المكعب توريد وصب خرسانة عادية لزوم فرشة الأساسات بسمك 10 سم بمحتوى أسمنت لا يقل عن 250 كجم/م3، والفئة تشمل الشدة والمعالجة.</t>
  </si>
  <si>
    <t>بالمتر المكعب توريد وصب خرسانة مسلحة للقواعد المنفصلة والسملات بمحتوى أسمنت لا يقل عن 350 كجم/م3، والفئة تشمل حديد التسليح والشدة الخشبية والصب والمعالجة طبقاً للرسومات الإنشائية.</t>
  </si>
  <si>
    <t>بالمتر المكعب خرسانة مسلحة لبلاطة أرضية البدروم على التربة بسمك 15 سم بفرش واحد من حديد التسليح.</t>
  </si>
  <si>
    <t>بالمتر المكعب خرسانة مسلحة للحوائط الساندة للبدروم بسمك 30 سم شاملة الشدة من الوجهين.</t>
  </si>
  <si>
    <t>بالمتر المكعب خرسانة مسلحة للأعمدة ورقاب الأعمدة بجميع الأدوار.</t>
  </si>
  <si>
    <t>بالمتر المكعب خرسانة مسلحة للبلاطات المسطحة (فلات سلاب) والكمرات الطرفية.</t>
  </si>
  <si>
    <t>بالمتر المكعب خرسانة مسلحة للسلالم والبسطات.</t>
  </si>
  <si>
    <t>بالمتر المكعب خرسانة مسلحة لحوائط بئر المصعد بسمك 20 سم.</t>
  </si>
  <si>
    <t>ثالثاً: أعمال المباني</t>
  </si>
  <si>
    <t>بالمتر المسطح مباني حوائط خارجية سمك 25 سم بالطوب الطفلي 25×12×6 بنسبة 75% والطوب الأسمنتي المصمت بنسبة 25% بمونة الأسمنت والرمل.</t>
  </si>
  <si>
    <t>م2</t>
  </si>
  <si>
    <t>بالمتر المسطح مباني قواطيع داخلية سمك 12 سم (نصف طوبة) بنفس نسب الطوب في البند السابق.</t>
  </si>
  <si>
    <t>بالمتر المسطح مباني حوائط البدروم سمك 25 سم بالطوب الأسمنتي المصمت.</t>
  </si>
  <si>
    <t>بالمتر المسطح مباني قواطيع البدروم سمك 12 سم بالطوب الأسمنتي المصمت.</t>
  </si>
  <si>
    <t>رابعاً: أعمال العزل</t>
  </si>
  <si>
    <t>بالمتر المسطح توريد وعمل عزل للرطوبة من طبقتين من اللفائف البيتومينية (ممبرين) مع طبقة حماية لأرضية وحوائط البدروم والسطح.</t>
  </si>
  <si>
    <t>بالمتر المسطح عزل حراري للأسطح بألواح البولسترين المبثوق مع طبقة رمي فوقها.</t>
  </si>
  <si>
    <t>خامساً: أعمال التأسيسات</t>
  </si>
  <si>
    <t>بالمتر المسطح من مسطح المبنى تأسيس الكهرباء (مواسير وعلب ولوحات بدون أسلاك).</t>
  </si>
  <si>
    <t>بالمتر المسطح من مسطح المبنى تأسيس السباكة (تغذية وصرف) مع اختبار الضغط.</t>
  </si>
  <si>
    <t>سادساً: أعمال البياض</t>
  </si>
  <si>
    <t>بالمتر المسطح بياض داخلي للحوائط والأسقف (طرطشة وبؤج وأوتار وبطانة).</t>
  </si>
  <si>
    <t>بالمتر المسطح بياض خارجي للواجهات بما فيه السقالات.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</si>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</sst>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right" vertical="top" wrapText="1" readingOrder="2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right" vertical="top" wrapText="1" readingOrder="2"/>
    </xf>
    <xf numFmtId="3" fontId="0" fillId="0" borderId="1" xfId="0" applyNumberFormat="1" applyBorder="1" applyAlignment="1">
      <alignment horizontal="center" vertical="top" wrapText="1"/>
    </xf>
    <xf numFmtId="4" fontId="0" fillId="0" borderId="1" xfId="0" applyNumberFormat="1" applyBorder="1" applyAlignment="1">
      <alignment horizontal="center" vertical="top" wrapText="1"/>
    </xf>
    <xf numFmtId="0" fontId="0" fillId="2" borderId="1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1" fillId="0" borderId="0" xfId="0" applyFont="1" applyAlignment="1">
      <alignment horizontal="center" vertical="center" wrapText="1" readingOrder="2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rightToLeft="1" tabSelected="1" workbookViewId="0">
      <pane ySplit="4" topLeftCell="A5" activePane="bottomLeft" state="frozen"/>
      <selection pane="bottomLeft" sqref="A1:F1"/>
    </sheetView>
  </sheetViews>
  <sheetFormatPr defaultRowHeight="14.5" x14ac:dyDescent="0.35"/>
  <cols>
    <col min="1" max="1" width="6" customWidth="1"/>
    <col min="2" max="2" width="70" customWidth="1"/>
    <col min="3" max="3" width="10" customWidth="1"/>
    <col min="4" max="4" width="11" customWidth="1"/>
    <col min="5" max="5" width="12" customWidth="1"/>
    <col min="6" max="6" width="15" customWidth="1"/>
  </cols>
  <sheetData>
    <row r="1" spans="1:6" x14ac:dyDescent="0.35">
      <c r="A1" s="11" t="s">
        <v>0</v>
      </c>
      <c r="B1" s="12"/>
      <c r="C1" s="12"/>
      <c r="D1" s="12"/>
      <c r="E1" s="12"/>
      <c r="F1" s="12"/>
    </row>
    <row r="2" spans="1:6" x14ac:dyDescent="0.35">
      <c r="A2" s="11" t="s">
        <v>1</v>
      </c>
      <c r="B2" s="12"/>
      <c r="C2" s="12"/>
      <c r="D2" s="12"/>
      <c r="E2" s="12"/>
      <c r="F2" s="12"/>
    </row>
    <row r="4" spans="1:6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5">
      <c r="A5" s="2"/>
      <c r="B5" s="3" t="s">
        <v>8</v>
      </c>
      <c r="C5" s="2"/>
      <c r="D5" s="2"/>
      <c r="E5" s="2"/>
      <c r="F5" s="2"/>
    </row>
    <row r="6" spans="1:6" ht="29" x14ac:dyDescent="0.35">
      <c r="A6" s="4">
        <v>1</v>
      </c>
      <c r="B6" s="5" t="s">
        <v>9</v>
      </c>
      <c r="C6" s="4" t="s">
        <v>10</v>
      </c>
      <c r="D6" s="6">
        <v>2429</v>
      </c>
      <c r="E6" s="7"/>
      <c r="F6" s="7" t="str">
        <f>IF(E6="","",D6*E6)</f>
        <v/>
      </c>
    </row>
    <row r="7" spans="1:6" ht="29" x14ac:dyDescent="0.35">
      <c r="A7" s="4">
        <v>2</v>
      </c>
      <c r="B7" s="5" t="s">
        <v>11</v>
      </c>
      <c r="C7" s="4" t="s">
        <v>10</v>
      </c>
      <c r="D7" s="6">
        <v>396</v>
      </c>
      <c r="E7" s="7"/>
      <c r="F7" s="7" t="str">
        <f>IF(E7="","",D7*E7)</f>
        <v/>
      </c>
    </row>
    <row r="8" spans="1:6" x14ac:dyDescent="0.35">
      <c r="A8" s="4">
        <v>3</v>
      </c>
      <c r="B8" s="5" t="s">
        <v>12</v>
      </c>
      <c r="C8" s="4" t="s">
        <v>10</v>
      </c>
      <c r="D8" s="6">
        <v>317</v>
      </c>
      <c r="E8" s="7"/>
      <c r="F8" s="7" t="str">
        <f>IF(E8="","",D8*E8)</f>
        <v/>
      </c>
    </row>
    <row r="9" spans="1:6" x14ac:dyDescent="0.35">
      <c r="A9" s="2"/>
      <c r="B9" s="3" t="s">
        <v>13</v>
      </c>
      <c r="C9" s="2"/>
      <c r="D9" s="2"/>
      <c r="E9" s="2"/>
      <c r="F9" s="2"/>
    </row>
    <row r="10" spans="1:6" ht="29" x14ac:dyDescent="0.35">
      <c r="A10" s="4">
        <v>4</v>
      </c>
      <c r="B10" s="5" t="s">
        <v>14</v>
      </c>
      <c r="C10" s="4" t="s">
        <v>10</v>
      </c>
      <c r="D10" s="6">
        <v>53</v>
      </c>
      <c r="E10" s="7"/>
      <c r="F10" s="7" t="str">
        <f t="shared" ref="F10:F17" si="0">IF(E10="","",D10*E10)</f>
        <v/>
      </c>
    </row>
    <row r="11" spans="1:6" ht="43.5" x14ac:dyDescent="0.35">
      <c r="A11" s="4">
        <v>5</v>
      </c>
      <c r="B11" s="5" t="s">
        <v>15</v>
      </c>
      <c r="C11" s="4" t="s">
        <v>10</v>
      </c>
      <c r="D11" s="6">
        <v>100</v>
      </c>
      <c r="E11" s="7"/>
      <c r="F11" s="7" t="str">
        <f t="shared" si="0"/>
        <v/>
      </c>
    </row>
    <row r="12" spans="1:6" ht="29" x14ac:dyDescent="0.35">
      <c r="A12" s="4">
        <v>6</v>
      </c>
      <c r="B12" s="5" t="s">
        <v>16</v>
      </c>
      <c r="C12" s="4" t="s">
        <v>10</v>
      </c>
      <c r="D12" s="6">
        <v>79</v>
      </c>
      <c r="E12" s="7"/>
      <c r="F12" s="7" t="str">
        <f t="shared" si="0"/>
        <v/>
      </c>
    </row>
    <row r="13" spans="1:6" x14ac:dyDescent="0.35">
      <c r="A13" s="4">
        <v>7</v>
      </c>
      <c r="B13" s="5" t="s">
        <v>17</v>
      </c>
      <c r="C13" s="4" t="s">
        <v>10</v>
      </c>
      <c r="D13" s="6">
        <v>111</v>
      </c>
      <c r="E13" s="7"/>
      <c r="F13" s="7" t="str">
        <f t="shared" si="0"/>
        <v/>
      </c>
    </row>
    <row r="14" spans="1:6" x14ac:dyDescent="0.35">
      <c r="A14" s="4">
        <v>8</v>
      </c>
      <c r="B14" s="5" t="s">
        <v>18</v>
      </c>
      <c r="C14" s="4" t="s">
        <v>10</v>
      </c>
      <c r="D14" s="6">
        <v>85</v>
      </c>
      <c r="E14" s="7"/>
      <c r="F14" s="7" t="str">
        <f t="shared" si="0"/>
        <v/>
      </c>
    </row>
    <row r="15" spans="1:6" x14ac:dyDescent="0.35">
      <c r="A15" s="4">
        <v>9</v>
      </c>
      <c r="B15" s="5" t="s">
        <v>19</v>
      </c>
      <c r="C15" s="4" t="s">
        <v>10</v>
      </c>
      <c r="D15" s="6">
        <v>458</v>
      </c>
      <c r="E15" s="7"/>
      <c r="F15" s="7" t="str">
        <f t="shared" si="0"/>
        <v/>
      </c>
    </row>
    <row r="16" spans="1:6" x14ac:dyDescent="0.35">
      <c r="A16" s="4">
        <v>10</v>
      </c>
      <c r="B16" s="5" t="s">
        <v>20</v>
      </c>
      <c r="C16" s="4" t="s">
        <v>10</v>
      </c>
      <c r="D16" s="6">
        <v>20</v>
      </c>
      <c r="E16" s="7"/>
      <c r="F16" s="7" t="str">
        <f t="shared" si="0"/>
        <v/>
      </c>
    </row>
    <row r="17" spans="1:6" x14ac:dyDescent="0.35">
      <c r="A17" s="4">
        <v>11</v>
      </c>
      <c r="B17" s="5" t="s">
        <v>21</v>
      </c>
      <c r="C17" s="4" t="s">
        <v>10</v>
      </c>
      <c r="D17" s="6">
        <v>15</v>
      </c>
      <c r="E17" s="7"/>
      <c r="F17" s="7" t="str">
        <f t="shared" si="0"/>
        <v/>
      </c>
    </row>
    <row r="18" spans="1:6" x14ac:dyDescent="0.35">
      <c r="A18" s="2"/>
      <c r="B18" s="3" t="s">
        <v>22</v>
      </c>
      <c r="C18" s="2"/>
      <c r="D18" s="2"/>
      <c r="E18" s="2"/>
      <c r="F18" s="2"/>
    </row>
    <row r="19" spans="1:6" ht="29" x14ac:dyDescent="0.35">
      <c r="A19" s="4">
        <v>12</v>
      </c>
      <c r="B19" s="5" t="s">
        <v>23</v>
      </c>
      <c r="C19" s="4" t="s">
        <v>24</v>
      </c>
      <c r="D19" s="6">
        <v>759</v>
      </c>
      <c r="E19" s="7"/>
      <c r="F19" s="7" t="str">
        <f>IF(E19="","",D19*E19)</f>
        <v/>
      </c>
    </row>
    <row r="20" spans="1:6" x14ac:dyDescent="0.35">
      <c r="A20" s="4">
        <v>13</v>
      </c>
      <c r="B20" s="5" t="s">
        <v>25</v>
      </c>
      <c r="C20" s="4" t="s">
        <v>24</v>
      </c>
      <c r="D20" s="6">
        <v>1218</v>
      </c>
      <c r="E20" s="7"/>
      <c r="F20" s="7" t="str">
        <f>IF(E20="","",D20*E20)</f>
        <v/>
      </c>
    </row>
    <row r="21" spans="1:6" x14ac:dyDescent="0.35">
      <c r="A21" s="4">
        <v>14</v>
      </c>
      <c r="B21" s="5" t="s">
        <v>26</v>
      </c>
      <c r="C21" s="4" t="s">
        <v>24</v>
      </c>
      <c r="D21" s="6">
        <v>79</v>
      </c>
      <c r="E21" s="7"/>
      <c r="F21" s="7" t="str">
        <f>IF(E21="","",D21*E21)</f>
        <v/>
      </c>
    </row>
    <row r="22" spans="1:6" x14ac:dyDescent="0.35">
      <c r="A22" s="4">
        <v>15</v>
      </c>
      <c r="B22" s="5" t="s">
        <v>27</v>
      </c>
      <c r="C22" s="4" t="s">
        <v>24</v>
      </c>
      <c r="D22" s="6">
        <v>132</v>
      </c>
      <c r="E22" s="7"/>
      <c r="F22" s="7" t="str">
        <f>IF(E22="","",D22*E22)</f>
        <v/>
      </c>
    </row>
    <row r="23" spans="1:6" x14ac:dyDescent="0.35">
      <c r="A23" s="2"/>
      <c r="B23" s="3" t="s">
        <v>28</v>
      </c>
      <c r="C23" s="2"/>
      <c r="D23" s="2"/>
      <c r="E23" s="2"/>
      <c r="F23" s="2"/>
    </row>
    <row r="24" spans="1:6" ht="29" x14ac:dyDescent="0.35">
      <c r="A24" s="4">
        <v>16</v>
      </c>
      <c r="B24" s="5" t="s">
        <v>29</v>
      </c>
      <c r="C24" s="4" t="s">
        <v>24</v>
      </c>
      <c r="D24" s="6">
        <v>1190</v>
      </c>
      <c r="E24" s="7"/>
      <c r="F24" s="7" t="str">
        <f>IF(E24="","",D24*E24)</f>
        <v/>
      </c>
    </row>
    <row r="25" spans="1:6" x14ac:dyDescent="0.35">
      <c r="A25" s="4">
        <v>17</v>
      </c>
      <c r="B25" s="5" t="s">
        <v>30</v>
      </c>
      <c r="C25" s="4" t="s">
        <v>24</v>
      </c>
      <c r="D25" s="6">
        <v>290</v>
      </c>
      <c r="E25" s="7"/>
      <c r="F25" s="7" t="str">
        <f>IF(E25="","",D25*E25)</f>
        <v/>
      </c>
    </row>
    <row r="26" spans="1:6" x14ac:dyDescent="0.35">
      <c r="A26" s="2"/>
      <c r="B26" s="3" t="s">
        <v>31</v>
      </c>
      <c r="C26" s="2"/>
      <c r="D26" s="2"/>
      <c r="E26" s="2"/>
      <c r="F26" s="2"/>
    </row>
    <row r="27" spans="1:6" x14ac:dyDescent="0.35">
      <c r="A27" s="4">
        <v>18</v>
      </c>
      <c r="B27" s="5" t="s">
        <v>32</v>
      </c>
      <c r="C27" s="4" t="s">
        <v>24</v>
      </c>
      <c r="D27" s="6">
        <v>1881</v>
      </c>
      <c r="E27" s="7"/>
      <c r="F27" s="7" t="str">
        <f>IF(E27="","",D27*E27)</f>
        <v/>
      </c>
    </row>
    <row r="28" spans="1:6" x14ac:dyDescent="0.35">
      <c r="A28" s="4">
        <v>19</v>
      </c>
      <c r="B28" s="5" t="s">
        <v>33</v>
      </c>
      <c r="C28" s="4" t="s">
        <v>24</v>
      </c>
      <c r="D28" s="6">
        <v>1881</v>
      </c>
      <c r="E28" s="7"/>
      <c r="F28" s="7" t="str">
        <f>IF(E28="","",D28*E28)</f>
        <v/>
      </c>
    </row>
    <row r="29" spans="1:6" x14ac:dyDescent="0.35">
      <c r="A29" s="2"/>
      <c r="B29" s="3" t="s">
        <v>34</v>
      </c>
      <c r="C29" s="2"/>
      <c r="D29" s="2"/>
      <c r="E29" s="2"/>
      <c r="F29" s="2"/>
    </row>
    <row r="30" spans="1:6" x14ac:dyDescent="0.35">
      <c r="A30" s="4">
        <v>20</v>
      </c>
      <c r="B30" s="5" t="s">
        <v>35</v>
      </c>
      <c r="C30" s="4" t="s">
        <v>24</v>
      </c>
      <c r="D30" s="6">
        <v>5643</v>
      </c>
      <c r="E30" s="7"/>
      <c r="F30" s="7" t="str">
        <f>IF(E30="","",D30*E30)</f>
        <v/>
      </c>
    </row>
    <row r="31" spans="1:6" x14ac:dyDescent="0.35">
      <c r="A31" s="4">
        <v>21</v>
      </c>
      <c r="B31" s="5" t="s">
        <v>36</v>
      </c>
      <c r="C31" s="4" t="s">
        <v>24</v>
      </c>
      <c r="D31" s="6">
        <v>895</v>
      </c>
      <c r="E31" s="7"/>
      <c r="F31" s="7" t="str">
        <f>IF(E31="","",D31*E31)</f>
        <v/>
      </c>
    </row>
    <row r="32" spans="1:6" x14ac:dyDescent="0.35">
      <c r="A32" s="8"/>
      <c r="B32" s="9" t="s">
        <v>37</v>
      </c>
      <c r="C32" s="8"/>
      <c r="D32" s="8"/>
      <c r="E32" s="8"/>
      <c r="F32" s="10">
        <f>SUM(F5:F31)</f>
        <v>0</v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المقايسة</vt:lpstr>
      <vt:lpstr>المقايسة!Print_Titles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 MINA NAN</cp:lastModifiedBy>
  <dcterms:created xsi:type="dcterms:W3CDTF">2026-09-29T20:31:51Z</dcterms:created>
  <dcterms:modified xsi:type="dcterms:W3CDTF">2026-09-29T20:31:57Z</dcterms:modified>
</cp:coreProperties>
</file>