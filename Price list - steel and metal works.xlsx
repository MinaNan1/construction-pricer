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F:\Downloads\OnTap hackathon\"/>
    </mc:Choice>
  </mc:AlternateContent>
  <xr:revisionPtr revIDLastSave="0" documentId="13_ncr:1_{8161C40D-DC79-417B-8D65-40654BC0BE6F}" xr6:coauthVersionLast="47" xr6:coauthVersionMax="47" xr10:uidLastSave="{00000000-0000-0000-0000-000000000000}"/>
  <bookViews>
    <workbookView xWindow="-110" yWindow="-110" windowWidth="25820" windowHeight="13900" xr2:uid="{00000000-000D-0000-FFFF-FFFF00000000}"/>
  </bookViews>
  <sheets>
    <sheet name="Read me" sheetId="1" r:id="rId1"/>
    <sheet name="Price list" sheetId="2" r:id="rId2"/>
    <sheet name="Inputs" sheetId="3" r:id="rId3"/>
    <sheet name="Construction" sheetId="4" r:id="rId4"/>
  </sheets>
  <definedNames>
    <definedName name="CCasting">Construction!$G$14</definedName>
    <definedName name="CCement">Construction!$G$5</definedName>
    <definedName name="CCementBrick">Construction!$G$11</definedName>
    <definedName name="CFixing">Construction!$G$12</definedName>
    <definedName name="CFormwork">Construction!$G$13</definedName>
    <definedName name="CLabour12">Construction!$G$16</definedName>
    <definedName name="CLabour25">Construction!$G$15</definedName>
    <definedName name="CMortar">Construction!$G$17</definedName>
    <definedName name="Consumables">Inputs!$C$22</definedName>
    <definedName name="CorrugatedInstall">Inputs!$C$25</definedName>
    <definedName name="CorrugatedSupply">Inputs!$C$24</definedName>
    <definedName name="CPlain">Construction!$G$9</definedName>
    <definedName name="CPump">Construction!$G$8</definedName>
    <definedName name="CReadyMix">Construction!$G$7</definedName>
    <definedName name="CRebar">Construction!$G$4</definedName>
    <definedName name="CRedBrick">Construction!$G$10</definedName>
    <definedName name="CSand">Construction!$G$6</definedName>
    <definedName name="FabMetal">Inputs!$C$18</definedName>
    <definedName name="FabStructure">Inputs!$C$17</definedName>
    <definedName name="Materials">Inputs!$A$4:$C$14</definedName>
    <definedName name="Paint">Inputs!$C$19</definedName>
    <definedName name="SandwichInstall">Inputs!$C$27</definedName>
    <definedName name="SandwichSupply">Inputs!$C$26</definedName>
    <definedName name="Transport">Inputs!$C$23</definedName>
    <definedName name="WasteMetal">Inputs!$C$21</definedName>
    <definedName name="WasteStructure">Inputs!$C$20</definedName>
  </definedNames>
  <calcPr calcId="181029"/>
  <extLs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G16" i="4" l="1"/>
  <c r="H33" i="4" s="1"/>
  <c r="G15" i="4"/>
  <c r="H32" i="4" s="1"/>
  <c r="G14" i="4"/>
  <c r="I24" i="4" s="1"/>
  <c r="G13" i="4"/>
  <c r="H21" i="4" s="1"/>
  <c r="G12" i="4"/>
  <c r="G11" i="4"/>
  <c r="G10" i="4"/>
  <c r="F30" i="4" s="1"/>
  <c r="G9" i="4"/>
  <c r="F20" i="4" s="1"/>
  <c r="G8" i="4"/>
  <c r="G7" i="4"/>
  <c r="F21" i="4" s="1"/>
  <c r="G6" i="4"/>
  <c r="G5" i="4"/>
  <c r="G17" i="4" s="1"/>
  <c r="G4" i="4"/>
  <c r="E49" i="4" s="1"/>
  <c r="N40" i="2" s="1"/>
  <c r="O40" i="2" s="1"/>
  <c r="N39" i="2"/>
  <c r="O39" i="2" s="1"/>
  <c r="N38" i="2"/>
  <c r="O38" i="2" s="1"/>
  <c r="N37" i="2"/>
  <c r="O37" i="2" s="1"/>
  <c r="N36" i="2"/>
  <c r="O36" i="2" s="1"/>
  <c r="N35" i="2"/>
  <c r="O35" i="2" s="1"/>
  <c r="N34" i="2"/>
  <c r="O34" i="2" s="1"/>
  <c r="N33" i="2"/>
  <c r="O33" i="2" s="1"/>
  <c r="N32" i="2"/>
  <c r="O32" i="2" s="1"/>
  <c r="N31" i="2"/>
  <c r="O31" i="2" s="1"/>
  <c r="N30" i="2"/>
  <c r="O30" i="2" s="1"/>
  <c r="N17" i="2"/>
  <c r="O17" i="2" s="1"/>
  <c r="N16" i="2"/>
  <c r="O16" i="2" s="1"/>
  <c r="N15" i="2"/>
  <c r="O15" i="2" s="1"/>
  <c r="L14" i="2"/>
  <c r="K14" i="2"/>
  <c r="J14" i="2"/>
  <c r="I14" i="2"/>
  <c r="H14" i="2"/>
  <c r="M14" i="2" s="1"/>
  <c r="O14" i="2" s="1"/>
  <c r="L13" i="2"/>
  <c r="K13" i="2"/>
  <c r="J13" i="2"/>
  <c r="I13" i="2"/>
  <c r="H13" i="2"/>
  <c r="M13" i="2" s="1"/>
  <c r="O13" i="2" s="1"/>
  <c r="L12" i="2"/>
  <c r="K12" i="2"/>
  <c r="J12" i="2"/>
  <c r="I12" i="2"/>
  <c r="H12" i="2"/>
  <c r="L11" i="2"/>
  <c r="K11" i="2"/>
  <c r="J11" i="2"/>
  <c r="I11" i="2"/>
  <c r="H11" i="2"/>
  <c r="L10" i="2"/>
  <c r="K10" i="2"/>
  <c r="J10" i="2"/>
  <c r="I10" i="2"/>
  <c r="H10" i="2"/>
  <c r="L9" i="2"/>
  <c r="K9" i="2"/>
  <c r="J9" i="2"/>
  <c r="I9" i="2"/>
  <c r="H9" i="2"/>
  <c r="M9" i="2" s="1"/>
  <c r="O9" i="2" s="1"/>
  <c r="L8" i="2"/>
  <c r="K8" i="2"/>
  <c r="J8" i="2"/>
  <c r="I8" i="2"/>
  <c r="H8" i="2"/>
  <c r="N7" i="2"/>
  <c r="O7" i="2" s="1"/>
  <c r="N6" i="2"/>
  <c r="O6" i="2" s="1"/>
  <c r="L5" i="2"/>
  <c r="K5" i="2"/>
  <c r="J5" i="2"/>
  <c r="I5" i="2"/>
  <c r="H5" i="2"/>
  <c r="L4" i="2"/>
  <c r="K4" i="2"/>
  <c r="J4" i="2"/>
  <c r="I4" i="2"/>
  <c r="H4" i="2"/>
  <c r="L3" i="2"/>
  <c r="K3" i="2"/>
  <c r="J3" i="2"/>
  <c r="I3" i="2"/>
  <c r="H3" i="2"/>
  <c r="L2" i="2"/>
  <c r="K2" i="2"/>
  <c r="J2" i="2"/>
  <c r="I2" i="2"/>
  <c r="H2" i="2"/>
  <c r="M2" i="2" s="1"/>
  <c r="O2" i="2" s="1"/>
  <c r="M4" i="2" l="1"/>
  <c r="O4" i="2" s="1"/>
  <c r="M5" i="2"/>
  <c r="O5" i="2" s="1"/>
  <c r="M11" i="2"/>
  <c r="O11" i="2" s="1"/>
  <c r="M8" i="2"/>
  <c r="O8" i="2" s="1"/>
  <c r="M10" i="2"/>
  <c r="O10" i="2" s="1"/>
  <c r="M12" i="2"/>
  <c r="O12" i="2" s="1"/>
  <c r="M3" i="2"/>
  <c r="O3" i="2" s="1"/>
  <c r="G33" i="4"/>
  <c r="G32" i="4"/>
  <c r="G31" i="4"/>
  <c r="G30" i="4"/>
  <c r="I21" i="4"/>
  <c r="F25" i="4"/>
  <c r="H30" i="4"/>
  <c r="I30" i="4" s="1"/>
  <c r="K30" i="4" s="1"/>
  <c r="N26" i="2" s="1"/>
  <c r="O26" i="2" s="1"/>
  <c r="G25" i="4"/>
  <c r="F22" i="4"/>
  <c r="H25" i="4"/>
  <c r="G22" i="4"/>
  <c r="I25" i="4"/>
  <c r="F31" i="4"/>
  <c r="H22" i="4"/>
  <c r="I22" i="4"/>
  <c r="H31" i="4"/>
  <c r="F26" i="4"/>
  <c r="G26" i="4"/>
  <c r="F23" i="4"/>
  <c r="H26" i="4"/>
  <c r="F32" i="4"/>
  <c r="G23" i="4"/>
  <c r="I26" i="4"/>
  <c r="H23" i="4"/>
  <c r="G20" i="4"/>
  <c r="I23" i="4"/>
  <c r="H20" i="4"/>
  <c r="F27" i="4"/>
  <c r="I20" i="4"/>
  <c r="G27" i="4"/>
  <c r="F33" i="4"/>
  <c r="F24" i="4"/>
  <c r="H27" i="4"/>
  <c r="G24" i="4"/>
  <c r="I27" i="4"/>
  <c r="H24" i="4"/>
  <c r="G21" i="4"/>
  <c r="J20" i="4" l="1"/>
  <c r="L20" i="4" s="1"/>
  <c r="N18" i="2" s="1"/>
  <c r="O18" i="2" s="1"/>
  <c r="J21" i="4"/>
  <c r="L21" i="4" s="1"/>
  <c r="N19" i="2" s="1"/>
  <c r="O19" i="2" s="1"/>
  <c r="J23" i="4"/>
  <c r="L23" i="4" s="1"/>
  <c r="N21" i="2" s="1"/>
  <c r="O21" i="2" s="1"/>
  <c r="J26" i="4"/>
  <c r="L26" i="4" s="1"/>
  <c r="N24" i="2" s="1"/>
  <c r="O24" i="2" s="1"/>
  <c r="I31" i="4"/>
  <c r="K31" i="4" s="1"/>
  <c r="N27" i="2" s="1"/>
  <c r="O27" i="2" s="1"/>
  <c r="J24" i="4"/>
  <c r="L24" i="4" s="1"/>
  <c r="N22" i="2" s="1"/>
  <c r="O22" i="2" s="1"/>
  <c r="I33" i="4"/>
  <c r="K33" i="4" s="1"/>
  <c r="N29" i="2" s="1"/>
  <c r="O29" i="2" s="1"/>
  <c r="J22" i="4"/>
  <c r="L22" i="4" s="1"/>
  <c r="N20" i="2" s="1"/>
  <c r="O20" i="2" s="1"/>
  <c r="J27" i="4"/>
  <c r="L27" i="4" s="1"/>
  <c r="N25" i="2" s="1"/>
  <c r="O25" i="2" s="1"/>
  <c r="J25" i="4"/>
  <c r="L25" i="4" s="1"/>
  <c r="N23" i="2" s="1"/>
  <c r="O23" i="2" s="1"/>
  <c r="I32" i="4"/>
  <c r="K32" i="4" s="1"/>
  <c r="N28" i="2" s="1"/>
  <c r="O28" i="2" s="1"/>
</calcChain>
</file>

<file path=xl/sharedStrings.xml><?xml version="1.0" encoding="utf-8"?>
<sst xmlns="http://schemas.openxmlformats.org/spreadsheetml/2006/main" count="542" uniqueCount="291">
  <si>
    <t>Price list - steel structures, metal works and construction works (Cairo, 2026)</t>
  </si>
  <si>
    <t>1. Steel and metal works (SW, MW): unit price = material + waste + consumables + fabrication and erection + paint + transport. No overhead and no profit.</t>
  </si>
  <si>
    <t>2. Their material prices are from the Ministry of Housing building materials price bulletin, August 2026 (including tax, excluding transport). The bulletin is in the sources folder.</t>
  </si>
  <si>
    <t>3. Construction works (CW): Egyptian market rates, July 2026, delivered to site, reviewed by a practising engineer. The build-up is in the Construction sheet. 'Market adjustment' is the hand correction applied to the calculated price.</t>
  </si>
  <si>
    <t>4. Yellow cells are estimates without a firm source. Please check them first.</t>
  </si>
  <si>
    <t>5. Please write your own price or comment in the last two columns (green) of the Price list sheet.</t>
  </si>
  <si>
    <t>قائمة أسعار - منشآت معدنية وأعمال حدادة وأعمال إنشائية (القاهرة، 2026)</t>
  </si>
  <si>
    <t>1. المنشآت المعدنية والحدادة (SW, MW): سعر الوحدة = الخامة + الهالك + المستهلكات + المصنعية والتركيب + الدهان + النقل. لا يشمل المصاريف الإدارية ولا الربح.</t>
  </si>
  <si>
    <t>2. أسعار خاماتها من نشرة أسعار مواد البناء لوزارة الإسكان، أغسطس 2026 (شاملة الضرائب وغير شاملة النقل). النشرة موجودة في فولدر sources.</t>
  </si>
  <si>
    <t>3. الأعمال الإنشائية (CW): أسعار السوق المصري، يوليو 2026، تسليم الموقع، مراجعة مهندس ممارس. تحليل السعر في شيت Construction، و'تعديل السوق' هو الفرق المضاف يدوياً على السعر المحسوب.</t>
  </si>
  <si>
    <t>4. الخلايا الصفراء تقديرات بدون مصدر مؤكد، برجاء مراجعتها أولاً.</t>
  </si>
  <si>
    <t>5. برجاء كتابة سعرك أو ملاحظتك في آخر عمودين (باللون الأخضر) في شيت Price list.</t>
  </si>
  <si>
    <t>Code</t>
  </si>
  <si>
    <t>Item (Arabic)</t>
  </si>
  <si>
    <t>Item (English)</t>
  </si>
  <si>
    <t>Unit</t>
  </si>
  <si>
    <t>Type</t>
  </si>
  <si>
    <t>Material</t>
  </si>
  <si>
    <t>kg per unit</t>
  </si>
  <si>
    <t>Material + waste</t>
  </si>
  <si>
    <t>Consumables</t>
  </si>
  <si>
    <t>Labour</t>
  </si>
  <si>
    <t>Paint</t>
  </si>
  <si>
    <t>Transport</t>
  </si>
  <si>
    <t>Cost per ton</t>
  </si>
  <si>
    <t>Direct cost per unit</t>
  </si>
  <si>
    <t>Unit price (EGP)</t>
  </si>
  <si>
    <t>Note</t>
  </si>
  <si>
    <t>Your price (EGP)</t>
  </si>
  <si>
    <t>Your comment</t>
  </si>
  <si>
    <t>SW-01</t>
  </si>
  <si>
    <t>توريد وتصنيع وتركيب ودهان منشآت معدنية من قطاعات ثقيلة</t>
  </si>
  <si>
    <t>Supply, fabricate, erect and paint steel structure, heavy sections</t>
  </si>
  <si>
    <t>ton / طن</t>
  </si>
  <si>
    <t>Structure</t>
  </si>
  <si>
    <t>Heavy beams UPN/IPN/HEA/HEB 14-40 cm</t>
  </si>
  <si>
    <t>SW-02</t>
  </si>
  <si>
    <t>توريد وتصنيع وتركيب ودهان منشآت معدنية من قطاعات متوسطة</t>
  </si>
  <si>
    <t>Supply, fabricate, erect and paint steel structure, medium sections</t>
  </si>
  <si>
    <t>Medium beams 8-12 cm</t>
  </si>
  <si>
    <t>SW-03</t>
  </si>
  <si>
    <t>هيكل جمالون معدني (بالمتر المربع من المساحة المغطاة)</t>
  </si>
  <si>
    <t>Steel shed frame, per m² of covered area</t>
  </si>
  <si>
    <t>m² / م²</t>
  </si>
  <si>
    <t>30 kg/m² from Injaz range 25-35 kg/m²</t>
  </si>
  <si>
    <t>SW-04</t>
  </si>
  <si>
    <t>ألواح القواعد والوصلات والتقويات</t>
  </si>
  <si>
    <t>Base plates, connection plates and stiffeners</t>
  </si>
  <si>
    <t>Steel plate 8-10 mm</t>
  </si>
  <si>
    <t>SW-05</t>
  </si>
  <si>
    <t>تغطية سقف بصاج مجلفن معرج 0.5 مم توريد وتركيب</t>
  </si>
  <si>
    <t>Roof cladding, corrugated galvanized sheet 0.5 mm, supply and install</t>
  </si>
  <si>
    <t>Cladding</t>
  </si>
  <si>
    <t>SW-06</t>
  </si>
  <si>
    <t>تغطية سقف بألواح ساندوتش بانل توريد وتركيب</t>
  </si>
  <si>
    <t>Roof cladding, sandwich panel, supply and install</t>
  </si>
  <si>
    <t>MW-01</t>
  </si>
  <si>
    <t>سلالم حديد (قطاعات وصاج)</t>
  </si>
  <si>
    <t>Steel stairs (sections and plate)</t>
  </si>
  <si>
    <t>Metal works</t>
  </si>
  <si>
    <t>MW-02</t>
  </si>
  <si>
    <t>أرضيات ومنصات صاج بقلاوة</t>
  </si>
  <si>
    <t>Checker plate floors and platforms</t>
  </si>
  <si>
    <t>Checker plate 3-10 mm</t>
  </si>
  <si>
    <t>MW-03</t>
  </si>
  <si>
    <t>درابزين حديد من المواسير المربعة</t>
  </si>
  <si>
    <t>Steel railing from square tubes</t>
  </si>
  <si>
    <t>m / م.ط</t>
  </si>
  <si>
    <t>Hollow sections (square/rect tubes)</t>
  </si>
  <si>
    <t>Weight per unit is an estimate</t>
  </si>
  <si>
    <t>MW-04</t>
  </si>
  <si>
    <t>باب حديد صاج بالحلق</t>
  </si>
  <si>
    <t>Steel sheet door with frame</t>
  </si>
  <si>
    <t>Cold-rolled sheet</t>
  </si>
  <si>
    <t>MW-05</t>
  </si>
  <si>
    <t>بوابة حديد من المواسير</t>
  </si>
  <si>
    <t>Steel gate from tubes</t>
  </si>
  <si>
    <t>MW-06</t>
  </si>
  <si>
    <t>حماية شبابيك حديد</t>
  </si>
  <si>
    <t>Steel window guards</t>
  </si>
  <si>
    <t>Flat bar 6 m</t>
  </si>
  <si>
    <t>MW-07</t>
  </si>
  <si>
    <t>أعمال حدادة عامة وحديد كريتال توريد وتصنيع وتركيب ودهان</t>
  </si>
  <si>
    <t>General metal works and crittall steel: supply, fabricate, install and paint</t>
  </si>
  <si>
    <t>Medium angles 60-100 mm</t>
  </si>
  <si>
    <t>New item (Sep 2026): built from existing rates - please check</t>
  </si>
  <si>
    <t>CW-01</t>
  </si>
  <si>
    <t>أعمال الحفر مع نقل الناتج خارج الموقع</t>
  </si>
  <si>
    <t>Excavation with hauling away</t>
  </si>
  <si>
    <t>m³ / م³</t>
  </si>
  <si>
    <t>Construction</t>
  </si>
  <si>
    <t>Egyptian market cost model, July 2026 (reviewed by a practising engineer)</t>
  </si>
  <si>
    <t>CW-02</t>
  </si>
  <si>
    <t>توريد وفرد ودمك طبقة إحلال رمل وزلط</t>
  </si>
  <si>
    <t>Supply, spread and compact sand-gravel replacement layer</t>
  </si>
  <si>
    <t>CW-03</t>
  </si>
  <si>
    <t>أعمال الردم والدمك حول حوائط البدروم</t>
  </si>
  <si>
    <t>Backfill and compaction around basement walls</t>
  </si>
  <si>
    <t>CW-04</t>
  </si>
  <si>
    <t>خرسانة عادية فرشة نظافة سماكة 10 سم</t>
  </si>
  <si>
    <t>Plain concrete blinding 10 cm</t>
  </si>
  <si>
    <t>CW-05</t>
  </si>
  <si>
    <t>خرسانة مسلحة للقواعد والسملات</t>
  </si>
  <si>
    <t>Reinforced concrete footings and tie beams</t>
  </si>
  <si>
    <t>CW-06</t>
  </si>
  <si>
    <t>خرسانة مسلحة بلاطة أرضية على التربة 15 سم بطبقة حديد واحدة</t>
  </si>
  <si>
    <t>RC slab on grade 15 cm, one rebar layer</t>
  </si>
  <si>
    <t>CW-07</t>
  </si>
  <si>
    <t>خرسانة مسلحة لحوائط البدروم الساندة</t>
  </si>
  <si>
    <t>RC basement retaining walls</t>
  </si>
  <si>
    <t>CW-08</t>
  </si>
  <si>
    <t>خرسانة مسلحة للأعمدة ورقاب الأعمدة</t>
  </si>
  <si>
    <t>RC columns and column necks</t>
  </si>
  <si>
    <t>CW-09</t>
  </si>
  <si>
    <t>خرسانة مسلحة للبلاطات فلات سلاب والكمرات الطرفية</t>
  </si>
  <si>
    <t>RC flat slabs and edge beams</t>
  </si>
  <si>
    <t>CW-10</t>
  </si>
  <si>
    <t>خرسانة مسلحة للسلالم والبسطات</t>
  </si>
  <si>
    <t>RC stairs and landings</t>
  </si>
  <si>
    <t>CW-11</t>
  </si>
  <si>
    <t>خرسانة مسلحة لحوائط بيت المصعد</t>
  </si>
  <si>
    <t>RC lift shaft walls</t>
  </si>
  <si>
    <t>CW-12</t>
  </si>
  <si>
    <t>مباني طوب حوائط خارجية 25 سم (75% وردي + 25% أسمنتي)</t>
  </si>
  <si>
    <t>Brick external walls 25 cm (75% red, 25% cement brick)</t>
  </si>
  <si>
    <t>CW-13</t>
  </si>
  <si>
    <t>مباني طوب قواطيع داخلية 12 سم (75% وردي + 25% أسمنتي)</t>
  </si>
  <si>
    <t>Brick partitions 12 cm (75% red, 25% cement brick)</t>
  </si>
  <si>
    <t>CW-14</t>
  </si>
  <si>
    <t>مباني البدروم حوائط 25 سم - طوب أسمنتي</t>
  </si>
  <si>
    <t>Basement walls 25 cm, cement brick</t>
  </si>
  <si>
    <t>CW-15</t>
  </si>
  <si>
    <t>مباني البدروم قواطيع 12 سم - طوب أسمنتي</t>
  </si>
  <si>
    <t>Basement partitions 12 cm, cement brick</t>
  </si>
  <si>
    <t>CW-16</t>
  </si>
  <si>
    <t>عزل مائي ممبرين طبقتين + طبقة حماية</t>
  </si>
  <si>
    <t>Waterproofing, 2-layer bitumen membrane + protection layer</t>
  </si>
  <si>
    <t>CW-17</t>
  </si>
  <si>
    <t>عزل حراري فوم أزرق + رمي أسطح</t>
  </si>
  <si>
    <t>Roof thermal insulation, blue foam + screed</t>
  </si>
  <si>
    <t>CW-18</t>
  </si>
  <si>
    <t>تأسيس شبكات الكهرباء (مواسير وعلب ولوحات) بدون أسلاك، لكل م² مسطح</t>
  </si>
  <si>
    <t>Electrical rough-in (conduits, boxes, panels), no wires, per m² of floor</t>
  </si>
  <si>
    <t>CW-19</t>
  </si>
  <si>
    <t>تأسيس شبكات السباكة والصرف مع اختبارات الضغط، لكل م² مسطح</t>
  </si>
  <si>
    <t>Plumbing and drainage rough-in with pressure tests, per m² of floor</t>
  </si>
  <si>
    <t>CW-20</t>
  </si>
  <si>
    <t>المحارة الداخلية للحوائط والأسقف</t>
  </si>
  <si>
    <t>Internal plaster, walls and ceilings</t>
  </si>
  <si>
    <t>CW-21</t>
  </si>
  <si>
    <t>المحارة الخارجية للواجهات شاملة السقالات</t>
  </si>
  <si>
    <t>External plaster including scaffolding</t>
  </si>
  <si>
    <t>CW-22</t>
  </si>
  <si>
    <t>شبابيك ألومنيوم بزجاج مزدوج + أبواب البلكونات</t>
  </si>
  <si>
    <t>Aluminium windows, double glazed, including balcony doors</t>
  </si>
  <si>
    <t>CW-23</t>
  </si>
  <si>
    <t>تشطيب الواجهات - دهان محاجر خارجي</t>
  </si>
  <si>
    <t>Facade finish, stone-effect paint</t>
  </si>
  <si>
    <t>CW-24</t>
  </si>
  <si>
    <t>تشطيب الواجهات - تكسية حجر طبيعي</t>
  </si>
  <si>
    <t>Facade finish, natural stone cladding</t>
  </si>
  <si>
    <t>CW-25</t>
  </si>
  <si>
    <t>مصعد كهربائي 6 توقفات شامل التركيب</t>
  </si>
  <si>
    <t>Electric elevator, 6 stops, including installation</t>
  </si>
  <si>
    <t>no. / عدد</t>
  </si>
  <si>
    <t>CW-26</t>
  </si>
  <si>
    <t>توريد وتقطيع وتشكيل وتركيب حديد التسليح</t>
  </si>
  <si>
    <t>Rebar, supply, cut, bend and fix</t>
  </si>
  <si>
    <t>New item (Sep 2026): rebar + fixing from the model's rates - please check</t>
  </si>
  <si>
    <t>Cairo prices, including tax, excluding transport. Yellow = estimate, please check. No overhead or profit here.</t>
  </si>
  <si>
    <t>Material (English)</t>
  </si>
  <si>
    <t>Material (Arabic)</t>
  </si>
  <si>
    <t>EGP per ton</t>
  </si>
  <si>
    <t>Source</t>
  </si>
  <si>
    <t>PDF page</t>
  </si>
  <si>
    <t>كمر ثقيل UPN/IPN/HEB/HEA من 14 إلى 40 سم</t>
  </si>
  <si>
    <t>Ministry of Housing price bulletin, Aug 2026</t>
  </si>
  <si>
    <t>كمر وسط 8، 10، 12 سم</t>
  </si>
  <si>
    <t>Small channels 2-4 cm</t>
  </si>
  <si>
    <t>كمر سيجال من 2 إلى 4 سم</t>
  </si>
  <si>
    <t>Heavy angles 120-200 mm</t>
  </si>
  <si>
    <t>زوايا ثقيلة من 120 إلى 200 مم</t>
  </si>
  <si>
    <t>زوايا متوسطة من 60 إلى 100 مم</t>
  </si>
  <si>
    <t>Light angles 40-50 mm</t>
  </si>
  <si>
    <t>زوايا خفيفة من 40 إلى 50 مم</t>
  </si>
  <si>
    <t>خوص طول 6 م</t>
  </si>
  <si>
    <t>صاج على البارد</t>
  </si>
  <si>
    <t>ألواح الصاج الصنوبر من 8 إلى 10 مم</t>
  </si>
  <si>
    <t>ألواح الصاج البقلاوة من 3 إلى 10 مم</t>
  </si>
  <si>
    <t>مواسير مربعة ومستطيلة (علب)</t>
  </si>
  <si>
    <t>Not in the bulletin. El Kayan Steel and GTCO price guides 2026: 46,000-46,700 ex-works</t>
  </si>
  <si>
    <t>Rate (English)</t>
  </si>
  <si>
    <t>Rate (Arabic)</t>
  </si>
  <si>
    <t>Value</t>
  </si>
  <si>
    <t>Steel structures: fabricate + erect</t>
  </si>
  <si>
    <t>منشآت معدنية: مصنعية وتركيب</t>
  </si>
  <si>
    <t>Injaz (steel contractor site), 2026</t>
  </si>
  <si>
    <t>EGP/ton</t>
  </si>
  <si>
    <t>Metal works (railings, doors, gates, stairs): fabricate + install</t>
  </si>
  <si>
    <t>أعمال حدادة: مصنعية وتركيب</t>
  </si>
  <si>
    <t>Estimate - please check</t>
  </si>
  <si>
    <t>Painting: primer + 2 coats</t>
  </si>
  <si>
    <t>دهان: طبقة أساس + طبقتين</t>
  </si>
  <si>
    <t>Waste, steel structures</t>
  </si>
  <si>
    <t>هالك منشآت معدنية</t>
  </si>
  <si>
    <t>%</t>
  </si>
  <si>
    <t>Waste, metal works</t>
  </si>
  <si>
    <t>هالك أعمال حدادة</t>
  </si>
  <si>
    <t>Welding wire, discs, gas, bolts (share of material cost)</t>
  </si>
  <si>
    <t>مستهلكات: سلك لحام، صواريخ، غاز، مسامير</t>
  </si>
  <si>
    <t>Transport to site</t>
  </si>
  <si>
    <t>نقل للموقع</t>
  </si>
  <si>
    <t>Egyptian market cost model, July 2026: steel transport to site</t>
  </si>
  <si>
    <t>Corrugated galvanized sheet 0.5 mm, supply</t>
  </si>
  <si>
    <t>صاج مجلفن معرج 0.5 مم، توريد</t>
  </si>
  <si>
    <t>Injaz 2026 range 150-320. Value chosen inside the range - please check</t>
  </si>
  <si>
    <t>EGP/m²</t>
  </si>
  <si>
    <t>Corrugated sheet, install</t>
  </si>
  <si>
    <t>صاج معرج، تركيب</t>
  </si>
  <si>
    <t>Sandwich panel, supply</t>
  </si>
  <si>
    <t>ساندوتش بانل، توريد</t>
  </si>
  <si>
    <t>Injaz 2026 range 650-950. Value chosen inside the range - please check</t>
  </si>
  <si>
    <t>Sandwich panel, install</t>
  </si>
  <si>
    <t>ساندوتش بانل، تركيب</t>
  </si>
  <si>
    <t>Egyptian market cost model, July 2026, reviewed by a practising engineer. Prices delivered to site. Unit price = calculated price + market adjustment (hand correction).</t>
  </si>
  <si>
    <t>Name</t>
  </si>
  <si>
    <t>Supplier price</t>
  </si>
  <si>
    <t>Delivered price</t>
  </si>
  <si>
    <t>CRebar</t>
  </si>
  <si>
    <t>Rebar (investment grade)</t>
  </si>
  <si>
    <t>حديد التسليح (استثماري)</t>
  </si>
  <si>
    <t>CCement</t>
  </si>
  <si>
    <t>Grey cement</t>
  </si>
  <si>
    <t>الأسمنت الرمادي</t>
  </si>
  <si>
    <t>CSand</t>
  </si>
  <si>
    <t>Washed sand</t>
  </si>
  <si>
    <t>رمل غسيل</t>
  </si>
  <si>
    <t>CReadyMix</t>
  </si>
  <si>
    <t>Ready-mix concrete, reinforced grade, delivered</t>
  </si>
  <si>
    <t>خرسانة جاهزة مسلحة توريد وتوصيل</t>
  </si>
  <si>
    <t>CPump</t>
  </si>
  <si>
    <t>Concrete pumping</t>
  </si>
  <si>
    <t>ضخ الخرسانة</t>
  </si>
  <si>
    <t>CPlain</t>
  </si>
  <si>
    <t>Plain concrete (blinding)</t>
  </si>
  <si>
    <t>خرسانة عادية (فرشة نظافة)</t>
  </si>
  <si>
    <t>CRedBrick</t>
  </si>
  <si>
    <t>Red brick 25x12x6</t>
  </si>
  <si>
    <t>طوب وردي 25×12×6</t>
  </si>
  <si>
    <t>1000 bricks / ألف طوبة</t>
  </si>
  <si>
    <t>CCementBrick</t>
  </si>
  <si>
    <t>Solid cement brick 25x12x6</t>
  </si>
  <si>
    <t>طوب أسمنتي مصمت 25×12×6</t>
  </si>
  <si>
    <t>Source note says 1,400-1,800 per 1000 but the model used 3,800 - please check</t>
  </si>
  <si>
    <t>CFixing</t>
  </si>
  <si>
    <t>Rebar cutting and fixing labour</t>
  </si>
  <si>
    <t>مصنعية تقطيع وتركيب الحديد</t>
  </si>
  <si>
    <t>CFormwork</t>
  </si>
  <si>
    <t>Timber formwork, per m² of contact</t>
  </si>
  <si>
    <t>الشدة الخشبية لكل م² تلامس</t>
  </si>
  <si>
    <t>CCasting</t>
  </si>
  <si>
    <t>Casting and curing labour</t>
  </si>
  <si>
    <t>مصنعية الصب والمعالجة</t>
  </si>
  <si>
    <t>CLabour25</t>
  </si>
  <si>
    <t>Bricklaying labour, 25 cm wall</t>
  </si>
  <si>
    <t>مصنعية مباني حائط 25 سم</t>
  </si>
  <si>
    <t>CLabour12</t>
  </si>
  <si>
    <t>Bricklaying labour, 12 cm wall</t>
  </si>
  <si>
    <t>مصنعية مباني حائط 12 سم</t>
  </si>
  <si>
    <t>CMortar</t>
  </si>
  <si>
    <t>Cement mortar 1:5, per m³ (0.3 t cement + 1 m³ sand)</t>
  </si>
  <si>
    <t>مونة أسمنتية 1:5 لكل م³</t>
  </si>
  <si>
    <t>Concrete item (English)</t>
  </si>
  <si>
    <t>Concrete item (Arabic)</t>
  </si>
  <si>
    <t>Rebar kg/m³</t>
  </si>
  <si>
    <t>Formwork m²/m³</t>
  </si>
  <si>
    <t>Concrete + pump</t>
  </si>
  <si>
    <t>Rebar + fixing</t>
  </si>
  <si>
    <t>Formwork</t>
  </si>
  <si>
    <t>Casting</t>
  </si>
  <si>
    <t>Calculated price</t>
  </si>
  <si>
    <t>Market adjustment</t>
  </si>
  <si>
    <t>Unit price per m³</t>
  </si>
  <si>
    <t>Wall item (English)</t>
  </si>
  <si>
    <t>Wall item (Arabic)</t>
  </si>
  <si>
    <t>Bricks per m²</t>
  </si>
  <si>
    <t>Red brick share</t>
  </si>
  <si>
    <t>Brick cost</t>
  </si>
  <si>
    <t>Mortar</t>
  </si>
  <si>
    <t>Unit price per m²</t>
  </si>
  <si>
    <t>Unit 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</si>
</sst>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3"/>
      <name val="Calibri"/>
    </font>
    <font>
      <b/>
      <sz val="11"/>
      <name val="Calibri"/>
    </font>
    <font>
      <b/>
      <sz val="11"/>
      <color rgb="FFFFFFFF"/>
      <name val="Calibri"/>
    </font>
  </fonts>
  <fills count="6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FFF2CC"/>
      </patternFill>
    </fill>
    <fill>
      <patternFill patternType="solid">
        <fgColor rgb="FF375623"/>
      </patternFill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0" borderId="0" xfId="0" applyFont="1" applyAlignment="1">
      <alignment vertical="center" wrapText="1"/>
    </xf>
    <xf numFmtId="0" fontId="0" fillId="0" borderId="0" xfId="0" applyAlignment="1">
      <alignment vertical="center" wrapText="1"/>
    </xf>
    <xf numFmtId="0" fontId="1" fillId="0" borderId="0" xfId="0" applyFont="1" applyAlignment="1">
      <alignment horizontal="right" vertical="center" wrapText="1" readingOrder="2"/>
    </xf>
    <xf numFmtId="0" fontId="0" fillId="0" borderId="0" xfId="0" applyAlignment="1">
      <alignment horizontal="right" vertical="center" wrapText="1" readingOrder="2"/>
    </xf>
    <xf numFmtId="0" fontId="3" fillId="2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right" vertical="center" wrapText="1" readingOrder="2"/>
    </xf>
    <xf numFmtId="0" fontId="0" fillId="0" borderId="1" xfId="0" applyBorder="1" applyAlignment="1">
      <alignment vertical="center" wrapText="1"/>
    </xf>
    <xf numFmtId="3" fontId="0" fillId="0" borderId="1" xfId="0" applyNumberFormat="1" applyBorder="1" applyAlignment="1">
      <alignment vertical="center" wrapText="1"/>
    </xf>
    <xf numFmtId="3" fontId="0" fillId="5" borderId="1" xfId="0" applyNumberFormat="1" applyFill="1" applyBorder="1" applyAlignment="1">
      <alignment vertical="center" wrapText="1"/>
    </xf>
    <xf numFmtId="3" fontId="2" fillId="0" borderId="1" xfId="0" applyNumberFormat="1" applyFont="1" applyBorder="1" applyAlignment="1">
      <alignment vertical="center" wrapText="1"/>
    </xf>
    <xf numFmtId="0" fontId="0" fillId="3" borderId="1" xfId="0" applyFill="1" applyBorder="1" applyAlignment="1">
      <alignment horizontal="center" vertical="center" wrapText="1"/>
    </xf>
    <xf numFmtId="3" fontId="2" fillId="3" borderId="1" xfId="0" applyNumberFormat="1" applyFont="1" applyFill="1" applyBorder="1" applyAlignment="1">
      <alignment vertical="center" wrapText="1"/>
    </xf>
    <xf numFmtId="0" fontId="0" fillId="3" borderId="1" xfId="0" applyFill="1" applyBorder="1" applyAlignment="1">
      <alignment vertical="center" wrapText="1"/>
    </xf>
    <xf numFmtId="0" fontId="2" fillId="0" borderId="0" xfId="0" applyFont="1"/>
    <xf numFmtId="0" fontId="0" fillId="3" borderId="1" xfId="0" applyFill="1" applyBorder="1" applyAlignment="1">
      <alignment horizontal="right" vertical="center" wrapText="1" readingOrder="2"/>
    </xf>
    <xf numFmtId="3" fontId="0" fillId="3" borderId="1" xfId="0" applyNumberFormat="1" applyFill="1" applyBorder="1" applyAlignment="1">
      <alignment vertical="center" wrapText="1"/>
    </xf>
    <xf numFmtId="9" fontId="0" fillId="3" borderId="1" xfId="0" applyNumberFormat="1" applyFill="1" applyBorder="1" applyAlignment="1">
      <alignment vertical="center" wrapText="1"/>
    </xf>
    <xf numFmtId="3" fontId="0" fillId="0" borderId="1" xfId="0" applyNumberFormat="1" applyBorder="1" applyAlignment="1">
      <alignment horizontal="center" vertical="center" wrapText="1"/>
    </xf>
    <xf numFmtId="3" fontId="0" fillId="3" borderId="1" xfId="0" applyNumberFormat="1" applyFill="1" applyBorder="1" applyAlignment="1">
      <alignment horizontal="center" vertical="center" wrapText="1"/>
    </xf>
    <xf numFmtId="3" fontId="2" fillId="0" borderId="1" xfId="0" applyNumberFormat="1" applyFont="1" applyBorder="1" applyAlignment="1">
      <alignment horizontal="center" vertical="center" wrapText="1"/>
    </xf>
    <xf numFmtId="9" fontId="0" fillId="0" borderId="1" xfId="0" applyNumberFormat="1" applyBorder="1" applyAlignment="1">
      <alignment horizontal="center" vertical="center" wrapText="1"/>
    </xf>
    <xf numFmtId="4" fontId="0" fillId="0" borderId="1" xfId="0" applyNumberFormat="1" applyBorder="1" applyAlignment="1">
      <alignment horizontal="center" vertical="center" wrapText="1"/>
    </xf>
    <xf numFmtId="4" fontId="0" fillId="0" borderId="1" xfId="0" applyNumberFormat="1" applyBorder="1" applyAlignment="1">
      <alignment vertical="center" wrapText="1"/>
    </xf>
    <xf numFmtId="4" fontId="2" fillId="0" borderId="1" xfId="0" applyNumberFormat="1" applyFont="1" applyBorder="1" applyAlignment="1">
      <alignment horizontal="center" vertical="center" wrapText="1"/>
    </xf>
    <xf numFmtId="0" fontId="2" fillId="0" borderId="0" xfId="0" applyFont="1"/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3"/>
  <sheetViews>
    <sheetView tabSelected="1" workbookViewId="0"/>
  </sheetViews>
  <sheetFormatPr defaultRowHeight="14.5" x14ac:dyDescent="0.35"/>
  <cols>
    <col min="1" max="1" width="110" customWidth="1"/>
  </cols>
  <sheetData>
    <row r="1" spans="1:1" ht="17" x14ac:dyDescent="0.35">
      <c r="A1" s="1" t="s">
        <v>0</v>
      </c>
    </row>
    <row r="2" spans="1:1" ht="29" x14ac:dyDescent="0.35">
      <c r="A2" s="2" t="s">
        <v>1</v>
      </c>
    </row>
    <row r="3" spans="1:1" ht="29" x14ac:dyDescent="0.35">
      <c r="A3" s="2" t="s">
        <v>2</v>
      </c>
    </row>
    <row r="4" spans="1:1" ht="29" x14ac:dyDescent="0.35">
      <c r="A4" s="2" t="s">
        <v>3</v>
      </c>
    </row>
    <row r="5" spans="1:1" x14ac:dyDescent="0.35">
      <c r="A5" s="2" t="s">
        <v>4</v>
      </c>
    </row>
    <row r="6" spans="1:1" x14ac:dyDescent="0.35">
      <c r="A6" s="2" t="s">
        <v>5</v>
      </c>
    </row>
    <row r="8" spans="1:1" ht="17" x14ac:dyDescent="0.35">
      <c r="A8" s="3" t="s">
        <v>6</v>
      </c>
    </row>
    <row r="9" spans="1:1" ht="29" x14ac:dyDescent="0.35">
      <c r="A9" s="4" t="s">
        <v>7</v>
      </c>
    </row>
    <row r="10" spans="1:1" x14ac:dyDescent="0.35">
      <c r="A10" s="4" t="s">
        <v>8</v>
      </c>
    </row>
    <row r="11" spans="1:1" ht="29" x14ac:dyDescent="0.35">
      <c r="A11" s="4" t="s">
        <v>9</v>
      </c>
    </row>
    <row r="12" spans="1:1" x14ac:dyDescent="0.35">
      <c r="A12" s="4" t="s">
        <v>10</v>
      </c>
    </row>
    <row r="13" spans="1:1" x14ac:dyDescent="0.35">
      <c r="A13" s="4" t="s">
        <v>11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R40"/>
  <sheetViews>
    <sheetView workbookViewId="0">
      <pane xSplit="3" ySplit="1" topLeftCell="D2" activePane="bottomRight" state="frozen"/>
      <selection pane="topRight"/>
      <selection pane="bottomLeft"/>
      <selection pane="bottomRight"/>
    </sheetView>
  </sheetViews>
  <sheetFormatPr defaultRowHeight="14.5" x14ac:dyDescent="0.35"/>
  <cols>
    <col min="1" max="1" width="8" customWidth="1"/>
    <col min="2" max="2" width="40" customWidth="1"/>
    <col min="3" max="3" width="36" customWidth="1"/>
    <col min="4" max="4" width="10" customWidth="1"/>
    <col min="5" max="5" width="12" customWidth="1"/>
    <col min="6" max="6" width="30" customWidth="1"/>
    <col min="7" max="7" width="9" customWidth="1"/>
    <col min="8" max="8" width="11" customWidth="1"/>
    <col min="9" max="9" width="13" customWidth="1"/>
    <col min="10" max="10" width="10" customWidth="1"/>
    <col min="11" max="11" width="9" customWidth="1"/>
    <col min="12" max="12" width="10" customWidth="1"/>
    <col min="13" max="14" width="11" customWidth="1"/>
    <col min="15" max="15" width="12" customWidth="1"/>
    <col min="16" max="16" width="34" customWidth="1"/>
    <col min="17" max="17" width="13" customWidth="1"/>
    <col min="18" max="18" width="30" customWidth="1"/>
  </cols>
  <sheetData>
    <row r="1" spans="1:18" ht="29" x14ac:dyDescent="0.35">
      <c r="A1" s="5" t="s">
        <v>12</v>
      </c>
      <c r="B1" s="5" t="s">
        <v>13</v>
      </c>
      <c r="C1" s="5" t="s">
        <v>14</v>
      </c>
      <c r="D1" s="5" t="s">
        <v>15</v>
      </c>
      <c r="E1" s="5" t="s">
        <v>16</v>
      </c>
      <c r="F1" s="5" t="s">
        <v>17</v>
      </c>
      <c r="G1" s="5" t="s">
        <v>18</v>
      </c>
      <c r="H1" s="5" t="s">
        <v>19</v>
      </c>
      <c r="I1" s="5" t="s">
        <v>20</v>
      </c>
      <c r="J1" s="5" t="s">
        <v>21</v>
      </c>
      <c r="K1" s="5" t="s">
        <v>22</v>
      </c>
      <c r="L1" s="5" t="s">
        <v>23</v>
      </c>
      <c r="M1" s="5" t="s">
        <v>24</v>
      </c>
      <c r="N1" s="5" t="s">
        <v>25</v>
      </c>
      <c r="O1" s="5" t="s">
        <v>26</v>
      </c>
      <c r="P1" s="5" t="s">
        <v>27</v>
      </c>
      <c r="Q1" s="6" t="s">
        <v>28</v>
      </c>
      <c r="R1" s="6" t="s">
        <v>29</v>
      </c>
    </row>
    <row r="2" spans="1:18" ht="29" x14ac:dyDescent="0.35">
      <c r="A2" s="7" t="s">
        <v>30</v>
      </c>
      <c r="B2" s="8" t="s">
        <v>31</v>
      </c>
      <c r="C2" s="9" t="s">
        <v>32</v>
      </c>
      <c r="D2" s="7" t="s">
        <v>33</v>
      </c>
      <c r="E2" s="7" t="s">
        <v>34</v>
      </c>
      <c r="F2" s="9" t="s">
        <v>35</v>
      </c>
      <c r="G2" s="7">
        <v>1000</v>
      </c>
      <c r="H2" s="10">
        <f>ROUND(VLOOKUP($F2,Materials,3,FALSE)*(1+IF($E2="Structure",WasteStructure,WasteMetal)),0)</f>
        <v>60480</v>
      </c>
      <c r="I2" s="10">
        <f>ROUND(VLOOKUP($F2,Materials,3,FALSE)*Consumables,0)</f>
        <v>1728</v>
      </c>
      <c r="J2" s="10">
        <f>IF($E2="Structure",FabStructure,FabMetal)</f>
        <v>15000</v>
      </c>
      <c r="K2" s="10">
        <f>Paint</f>
        <v>2500</v>
      </c>
      <c r="L2" s="10">
        <f>Transport</f>
        <v>1200</v>
      </c>
      <c r="M2" s="11">
        <f>SUM(H2:L2)</f>
        <v>80908</v>
      </c>
      <c r="N2" s="10"/>
      <c r="O2" s="12">
        <f>ROUND(G2/1000*M2,0)</f>
        <v>80908</v>
      </c>
      <c r="P2" s="9"/>
      <c r="Q2" s="10"/>
      <c r="R2" s="9"/>
    </row>
    <row r="3" spans="1:18" ht="29" x14ac:dyDescent="0.35">
      <c r="A3" s="7" t="s">
        <v>36</v>
      </c>
      <c r="B3" s="8" t="s">
        <v>37</v>
      </c>
      <c r="C3" s="9" t="s">
        <v>38</v>
      </c>
      <c r="D3" s="7" t="s">
        <v>33</v>
      </c>
      <c r="E3" s="7" t="s">
        <v>34</v>
      </c>
      <c r="F3" s="9" t="s">
        <v>39</v>
      </c>
      <c r="G3" s="7">
        <v>1000</v>
      </c>
      <c r="H3" s="10">
        <f>ROUND(VLOOKUP($F3,Materials,3,FALSE)*(1+IF($E3="Structure",WasteStructure,WasteMetal)),0)</f>
        <v>53550</v>
      </c>
      <c r="I3" s="10">
        <f>ROUND(VLOOKUP($F3,Materials,3,FALSE)*Consumables,0)</f>
        <v>1530</v>
      </c>
      <c r="J3" s="10">
        <f>IF($E3="Structure",FabStructure,FabMetal)</f>
        <v>15000</v>
      </c>
      <c r="K3" s="10">
        <f>Paint</f>
        <v>2500</v>
      </c>
      <c r="L3" s="10">
        <f>Transport</f>
        <v>1200</v>
      </c>
      <c r="M3" s="11">
        <f>SUM(H3:L3)</f>
        <v>73780</v>
      </c>
      <c r="N3" s="10"/>
      <c r="O3" s="12">
        <f>ROUND(G3/1000*M3,0)</f>
        <v>73780</v>
      </c>
      <c r="P3" s="9"/>
      <c r="Q3" s="10"/>
      <c r="R3" s="9"/>
    </row>
    <row r="4" spans="1:18" ht="29" x14ac:dyDescent="0.35">
      <c r="A4" s="7" t="s">
        <v>40</v>
      </c>
      <c r="B4" s="8" t="s">
        <v>41</v>
      </c>
      <c r="C4" s="9" t="s">
        <v>42</v>
      </c>
      <c r="D4" s="7" t="s">
        <v>43</v>
      </c>
      <c r="E4" s="7" t="s">
        <v>34</v>
      </c>
      <c r="F4" s="9" t="s">
        <v>35</v>
      </c>
      <c r="G4" s="7">
        <v>30</v>
      </c>
      <c r="H4" s="10">
        <f>ROUND(VLOOKUP($F4,Materials,3,FALSE)*(1+IF($E4="Structure",WasteStructure,WasteMetal)),0)</f>
        <v>60480</v>
      </c>
      <c r="I4" s="10">
        <f>ROUND(VLOOKUP($F4,Materials,3,FALSE)*Consumables,0)</f>
        <v>1728</v>
      </c>
      <c r="J4" s="10">
        <f>IF($E4="Structure",FabStructure,FabMetal)</f>
        <v>15000</v>
      </c>
      <c r="K4" s="10">
        <f>Paint</f>
        <v>2500</v>
      </c>
      <c r="L4" s="10">
        <f>Transport</f>
        <v>1200</v>
      </c>
      <c r="M4" s="11">
        <f>SUM(H4:L4)</f>
        <v>80908</v>
      </c>
      <c r="N4" s="10"/>
      <c r="O4" s="12">
        <f>ROUND(G4/1000*M4,0)</f>
        <v>2427</v>
      </c>
      <c r="P4" s="9" t="s">
        <v>44</v>
      </c>
      <c r="Q4" s="10"/>
      <c r="R4" s="9"/>
    </row>
    <row r="5" spans="1:18" ht="29" x14ac:dyDescent="0.35">
      <c r="A5" s="7" t="s">
        <v>45</v>
      </c>
      <c r="B5" s="8" t="s">
        <v>46</v>
      </c>
      <c r="C5" s="9" t="s">
        <v>47</v>
      </c>
      <c r="D5" s="7" t="s">
        <v>33</v>
      </c>
      <c r="E5" s="7" t="s">
        <v>34</v>
      </c>
      <c r="F5" s="9" t="s">
        <v>48</v>
      </c>
      <c r="G5" s="7">
        <v>1000</v>
      </c>
      <c r="H5" s="10">
        <f>ROUND(VLOOKUP($F5,Materials,3,FALSE)*(1+IF($E5="Structure",WasteStructure,WasteMetal)),0)</f>
        <v>48300</v>
      </c>
      <c r="I5" s="10">
        <f>ROUND(VLOOKUP($F5,Materials,3,FALSE)*Consumables,0)</f>
        <v>1380</v>
      </c>
      <c r="J5" s="10">
        <f>IF($E5="Structure",FabStructure,FabMetal)</f>
        <v>15000</v>
      </c>
      <c r="K5" s="10">
        <f>Paint</f>
        <v>2500</v>
      </c>
      <c r="L5" s="10">
        <f>Transport</f>
        <v>1200</v>
      </c>
      <c r="M5" s="11">
        <f>SUM(H5:L5)</f>
        <v>68380</v>
      </c>
      <c r="N5" s="10"/>
      <c r="O5" s="12">
        <f>ROUND(G5/1000*M5,0)</f>
        <v>68380</v>
      </c>
      <c r="P5" s="9"/>
      <c r="Q5" s="10"/>
      <c r="R5" s="9"/>
    </row>
    <row r="6" spans="1:18" ht="29" x14ac:dyDescent="0.35">
      <c r="A6" s="7" t="s">
        <v>49</v>
      </c>
      <c r="B6" s="8" t="s">
        <v>50</v>
      </c>
      <c r="C6" s="9" t="s">
        <v>51</v>
      </c>
      <c r="D6" s="7" t="s">
        <v>43</v>
      </c>
      <c r="E6" s="7" t="s">
        <v>52</v>
      </c>
      <c r="F6" s="9"/>
      <c r="G6" s="7"/>
      <c r="H6" s="10"/>
      <c r="I6" s="10"/>
      <c r="J6" s="10"/>
      <c r="K6" s="10"/>
      <c r="L6" s="10"/>
      <c r="M6" s="11"/>
      <c r="N6" s="10">
        <f>CorrugatedSupply+CorrugatedInstall</f>
        <v>225</v>
      </c>
      <c r="O6" s="12">
        <f>N6</f>
        <v>225</v>
      </c>
      <c r="P6" s="9"/>
      <c r="Q6" s="10"/>
      <c r="R6" s="9"/>
    </row>
    <row r="7" spans="1:18" ht="29" x14ac:dyDescent="0.35">
      <c r="A7" s="7" t="s">
        <v>53</v>
      </c>
      <c r="B7" s="8" t="s">
        <v>54</v>
      </c>
      <c r="C7" s="9" t="s">
        <v>55</v>
      </c>
      <c r="D7" s="7" t="s">
        <v>43</v>
      </c>
      <c r="E7" s="7" t="s">
        <v>52</v>
      </c>
      <c r="F7" s="9"/>
      <c r="G7" s="7"/>
      <c r="H7" s="10"/>
      <c r="I7" s="10"/>
      <c r="J7" s="10"/>
      <c r="K7" s="10"/>
      <c r="L7" s="10"/>
      <c r="M7" s="11"/>
      <c r="N7" s="10">
        <f>SandwichSupply+SandwichInstall</f>
        <v>700</v>
      </c>
      <c r="O7" s="12">
        <f>N7</f>
        <v>700</v>
      </c>
      <c r="P7" s="9"/>
      <c r="Q7" s="10"/>
      <c r="R7" s="9"/>
    </row>
    <row r="8" spans="1:18" x14ac:dyDescent="0.35">
      <c r="A8" s="7" t="s">
        <v>56</v>
      </c>
      <c r="B8" s="8" t="s">
        <v>57</v>
      </c>
      <c r="C8" s="9" t="s">
        <v>58</v>
      </c>
      <c r="D8" s="7" t="s">
        <v>33</v>
      </c>
      <c r="E8" s="7" t="s">
        <v>59</v>
      </c>
      <c r="F8" s="9" t="s">
        <v>39</v>
      </c>
      <c r="G8" s="7">
        <v>1000</v>
      </c>
      <c r="H8" s="10">
        <f t="shared" ref="H8:H14" si="0">ROUND(VLOOKUP($F8,Materials,3,FALSE)*(1+IF($E8="Structure",WasteStructure,WasteMetal)),0)</f>
        <v>56100</v>
      </c>
      <c r="I8" s="10">
        <f t="shared" ref="I8:I14" si="1">ROUND(VLOOKUP($F8,Materials,3,FALSE)*Consumables,0)</f>
        <v>1530</v>
      </c>
      <c r="J8" s="10">
        <f t="shared" ref="J8:J14" si="2">IF($E8="Structure",FabStructure,FabMetal)</f>
        <v>30000</v>
      </c>
      <c r="K8" s="10">
        <f t="shared" ref="K8:K14" si="3">Paint</f>
        <v>2500</v>
      </c>
      <c r="L8" s="10">
        <f t="shared" ref="L8:L14" si="4">Transport</f>
        <v>1200</v>
      </c>
      <c r="M8" s="11">
        <f t="shared" ref="M8:M14" si="5">SUM(H8:L8)</f>
        <v>91330</v>
      </c>
      <c r="N8" s="10"/>
      <c r="O8" s="12">
        <f t="shared" ref="O8:O14" si="6">ROUND(G8/1000*M8,0)</f>
        <v>91330</v>
      </c>
      <c r="P8" s="9"/>
      <c r="Q8" s="10"/>
      <c r="R8" s="9"/>
    </row>
    <row r="9" spans="1:18" x14ac:dyDescent="0.35">
      <c r="A9" s="7" t="s">
        <v>60</v>
      </c>
      <c r="B9" s="8" t="s">
        <v>61</v>
      </c>
      <c r="C9" s="9" t="s">
        <v>62</v>
      </c>
      <c r="D9" s="7" t="s">
        <v>33</v>
      </c>
      <c r="E9" s="7" t="s">
        <v>59</v>
      </c>
      <c r="F9" s="9" t="s">
        <v>63</v>
      </c>
      <c r="G9" s="7">
        <v>1000</v>
      </c>
      <c r="H9" s="10">
        <f t="shared" si="0"/>
        <v>57200</v>
      </c>
      <c r="I9" s="10">
        <f t="shared" si="1"/>
        <v>1560</v>
      </c>
      <c r="J9" s="10">
        <f t="shared" si="2"/>
        <v>30000</v>
      </c>
      <c r="K9" s="10">
        <f t="shared" si="3"/>
        <v>2500</v>
      </c>
      <c r="L9" s="10">
        <f t="shared" si="4"/>
        <v>1200</v>
      </c>
      <c r="M9" s="11">
        <f t="shared" si="5"/>
        <v>92460</v>
      </c>
      <c r="N9" s="10"/>
      <c r="O9" s="12">
        <f t="shared" si="6"/>
        <v>92460</v>
      </c>
      <c r="P9" s="9"/>
      <c r="Q9" s="10"/>
      <c r="R9" s="9"/>
    </row>
    <row r="10" spans="1:18" ht="29" x14ac:dyDescent="0.35">
      <c r="A10" s="7" t="s">
        <v>64</v>
      </c>
      <c r="B10" s="8" t="s">
        <v>65</v>
      </c>
      <c r="C10" s="9" t="s">
        <v>66</v>
      </c>
      <c r="D10" s="7" t="s">
        <v>67</v>
      </c>
      <c r="E10" s="7" t="s">
        <v>59</v>
      </c>
      <c r="F10" s="9" t="s">
        <v>68</v>
      </c>
      <c r="G10" s="13">
        <v>15</v>
      </c>
      <c r="H10" s="10">
        <f t="shared" si="0"/>
        <v>51370</v>
      </c>
      <c r="I10" s="10">
        <f t="shared" si="1"/>
        <v>1401</v>
      </c>
      <c r="J10" s="10">
        <f t="shared" si="2"/>
        <v>30000</v>
      </c>
      <c r="K10" s="10">
        <f t="shared" si="3"/>
        <v>2500</v>
      </c>
      <c r="L10" s="10">
        <f t="shared" si="4"/>
        <v>1200</v>
      </c>
      <c r="M10" s="11">
        <f t="shared" si="5"/>
        <v>86471</v>
      </c>
      <c r="N10" s="10"/>
      <c r="O10" s="12">
        <f t="shared" si="6"/>
        <v>1297</v>
      </c>
      <c r="P10" s="9" t="s">
        <v>69</v>
      </c>
      <c r="Q10" s="10"/>
      <c r="R10" s="9"/>
    </row>
    <row r="11" spans="1:18" x14ac:dyDescent="0.35">
      <c r="A11" s="7" t="s">
        <v>70</v>
      </c>
      <c r="B11" s="8" t="s">
        <v>71</v>
      </c>
      <c r="C11" s="9" t="s">
        <v>72</v>
      </c>
      <c r="D11" s="7" t="s">
        <v>43</v>
      </c>
      <c r="E11" s="7" t="s">
        <v>59</v>
      </c>
      <c r="F11" s="9" t="s">
        <v>73</v>
      </c>
      <c r="G11" s="13">
        <v>40</v>
      </c>
      <c r="H11" s="10">
        <f t="shared" si="0"/>
        <v>59400</v>
      </c>
      <c r="I11" s="10">
        <f t="shared" si="1"/>
        <v>1620</v>
      </c>
      <c r="J11" s="10">
        <f t="shared" si="2"/>
        <v>30000</v>
      </c>
      <c r="K11" s="10">
        <f t="shared" si="3"/>
        <v>2500</v>
      </c>
      <c r="L11" s="10">
        <f t="shared" si="4"/>
        <v>1200</v>
      </c>
      <c r="M11" s="11">
        <f t="shared" si="5"/>
        <v>94720</v>
      </c>
      <c r="N11" s="10"/>
      <c r="O11" s="12">
        <f t="shared" si="6"/>
        <v>3789</v>
      </c>
      <c r="P11" s="9" t="s">
        <v>69</v>
      </c>
      <c r="Q11" s="10"/>
      <c r="R11" s="9"/>
    </row>
    <row r="12" spans="1:18" ht="29" x14ac:dyDescent="0.35">
      <c r="A12" s="7" t="s">
        <v>74</v>
      </c>
      <c r="B12" s="8" t="s">
        <v>75</v>
      </c>
      <c r="C12" s="9" t="s">
        <v>76</v>
      </c>
      <c r="D12" s="7" t="s">
        <v>43</v>
      </c>
      <c r="E12" s="7" t="s">
        <v>59</v>
      </c>
      <c r="F12" s="9" t="s">
        <v>68</v>
      </c>
      <c r="G12" s="13">
        <v>35</v>
      </c>
      <c r="H12" s="10">
        <f t="shared" si="0"/>
        <v>51370</v>
      </c>
      <c r="I12" s="10">
        <f t="shared" si="1"/>
        <v>1401</v>
      </c>
      <c r="J12" s="10">
        <f t="shared" si="2"/>
        <v>30000</v>
      </c>
      <c r="K12" s="10">
        <f t="shared" si="3"/>
        <v>2500</v>
      </c>
      <c r="L12" s="10">
        <f t="shared" si="4"/>
        <v>1200</v>
      </c>
      <c r="M12" s="11">
        <f t="shared" si="5"/>
        <v>86471</v>
      </c>
      <c r="N12" s="10"/>
      <c r="O12" s="12">
        <f t="shared" si="6"/>
        <v>3026</v>
      </c>
      <c r="P12" s="9" t="s">
        <v>69</v>
      </c>
      <c r="Q12" s="10"/>
      <c r="R12" s="9"/>
    </row>
    <row r="13" spans="1:18" x14ac:dyDescent="0.35">
      <c r="A13" s="7" t="s">
        <v>77</v>
      </c>
      <c r="B13" s="8" t="s">
        <v>78</v>
      </c>
      <c r="C13" s="9" t="s">
        <v>79</v>
      </c>
      <c r="D13" s="7" t="s">
        <v>43</v>
      </c>
      <c r="E13" s="7" t="s">
        <v>59</v>
      </c>
      <c r="F13" s="9" t="s">
        <v>80</v>
      </c>
      <c r="G13" s="13">
        <v>15</v>
      </c>
      <c r="H13" s="10">
        <f t="shared" si="0"/>
        <v>47300</v>
      </c>
      <c r="I13" s="10">
        <f t="shared" si="1"/>
        <v>1290</v>
      </c>
      <c r="J13" s="10">
        <f t="shared" si="2"/>
        <v>30000</v>
      </c>
      <c r="K13" s="10">
        <f t="shared" si="3"/>
        <v>2500</v>
      </c>
      <c r="L13" s="10">
        <f t="shared" si="4"/>
        <v>1200</v>
      </c>
      <c r="M13" s="11">
        <f t="shared" si="5"/>
        <v>82290</v>
      </c>
      <c r="N13" s="10"/>
      <c r="O13" s="12">
        <f t="shared" si="6"/>
        <v>1234</v>
      </c>
      <c r="P13" s="9" t="s">
        <v>69</v>
      </c>
      <c r="Q13" s="10"/>
      <c r="R13" s="9"/>
    </row>
    <row r="14" spans="1:18" ht="29" x14ac:dyDescent="0.35">
      <c r="A14" s="13" t="s">
        <v>81</v>
      </c>
      <c r="B14" s="8" t="s">
        <v>82</v>
      </c>
      <c r="C14" s="9" t="s">
        <v>83</v>
      </c>
      <c r="D14" s="7" t="s">
        <v>33</v>
      </c>
      <c r="E14" s="7" t="s">
        <v>59</v>
      </c>
      <c r="F14" s="9" t="s">
        <v>84</v>
      </c>
      <c r="G14" s="7">
        <v>1000</v>
      </c>
      <c r="H14" s="10">
        <f t="shared" si="0"/>
        <v>52800</v>
      </c>
      <c r="I14" s="10">
        <f t="shared" si="1"/>
        <v>1440</v>
      </c>
      <c r="J14" s="10">
        <f t="shared" si="2"/>
        <v>30000</v>
      </c>
      <c r="K14" s="10">
        <f t="shared" si="3"/>
        <v>2500</v>
      </c>
      <c r="L14" s="10">
        <f t="shared" si="4"/>
        <v>1200</v>
      </c>
      <c r="M14" s="11">
        <f t="shared" si="5"/>
        <v>87940</v>
      </c>
      <c r="N14" s="10"/>
      <c r="O14" s="14">
        <f t="shared" si="6"/>
        <v>87940</v>
      </c>
      <c r="P14" s="15" t="s">
        <v>85</v>
      </c>
      <c r="Q14" s="10"/>
      <c r="R14" s="9"/>
    </row>
    <row r="15" spans="1:18" ht="29" x14ac:dyDescent="0.35">
      <c r="A15" s="7" t="s">
        <v>86</v>
      </c>
      <c r="B15" s="8" t="s">
        <v>87</v>
      </c>
      <c r="C15" s="9" t="s">
        <v>88</v>
      </c>
      <c r="D15" s="7" t="s">
        <v>89</v>
      </c>
      <c r="E15" s="7" t="s">
        <v>90</v>
      </c>
      <c r="F15" s="9"/>
      <c r="G15" s="7"/>
      <c r="H15" s="10"/>
      <c r="I15" s="10"/>
      <c r="J15" s="10"/>
      <c r="K15" s="10"/>
      <c r="L15" s="10"/>
      <c r="M15" s="11"/>
      <c r="N15" s="10">
        <f>Construction!$E$36</f>
        <v>130</v>
      </c>
      <c r="O15" s="12">
        <f t="shared" ref="O15:O40" si="7">N15</f>
        <v>130</v>
      </c>
      <c r="P15" s="9" t="s">
        <v>91</v>
      </c>
      <c r="Q15" s="10"/>
      <c r="R15" s="9"/>
    </row>
    <row r="16" spans="1:18" ht="29" x14ac:dyDescent="0.35">
      <c r="A16" s="7" t="s">
        <v>92</v>
      </c>
      <c r="B16" s="8" t="s">
        <v>93</v>
      </c>
      <c r="C16" s="9" t="s">
        <v>94</v>
      </c>
      <c r="D16" s="7" t="s">
        <v>89</v>
      </c>
      <c r="E16" s="7" t="s">
        <v>90</v>
      </c>
      <c r="F16" s="9"/>
      <c r="G16" s="7"/>
      <c r="H16" s="10"/>
      <c r="I16" s="10"/>
      <c r="J16" s="10"/>
      <c r="K16" s="10"/>
      <c r="L16" s="10"/>
      <c r="M16" s="11"/>
      <c r="N16" s="10">
        <f>Construction!$E$37</f>
        <v>480</v>
      </c>
      <c r="O16" s="12">
        <f t="shared" si="7"/>
        <v>480</v>
      </c>
      <c r="P16" s="9" t="s">
        <v>91</v>
      </c>
      <c r="Q16" s="10"/>
      <c r="R16" s="9"/>
    </row>
    <row r="17" spans="1:18" ht="29" x14ac:dyDescent="0.35">
      <c r="A17" s="7" t="s">
        <v>95</v>
      </c>
      <c r="B17" s="8" t="s">
        <v>96</v>
      </c>
      <c r="C17" s="9" t="s">
        <v>97</v>
      </c>
      <c r="D17" s="7" t="s">
        <v>89</v>
      </c>
      <c r="E17" s="7" t="s">
        <v>90</v>
      </c>
      <c r="F17" s="9"/>
      <c r="G17" s="7"/>
      <c r="H17" s="10"/>
      <c r="I17" s="10"/>
      <c r="J17" s="10"/>
      <c r="K17" s="10"/>
      <c r="L17" s="10"/>
      <c r="M17" s="11"/>
      <c r="N17" s="10">
        <f>Construction!$E$38</f>
        <v>120</v>
      </c>
      <c r="O17" s="12">
        <f t="shared" si="7"/>
        <v>120</v>
      </c>
      <c r="P17" s="9" t="s">
        <v>91</v>
      </c>
      <c r="Q17" s="10"/>
      <c r="R17" s="9"/>
    </row>
    <row r="18" spans="1:18" ht="29" x14ac:dyDescent="0.35">
      <c r="A18" s="7" t="s">
        <v>98</v>
      </c>
      <c r="B18" s="8" t="s">
        <v>99</v>
      </c>
      <c r="C18" s="9" t="s">
        <v>100</v>
      </c>
      <c r="D18" s="7" t="s">
        <v>89</v>
      </c>
      <c r="E18" s="7" t="s">
        <v>90</v>
      </c>
      <c r="F18" s="9"/>
      <c r="G18" s="7"/>
      <c r="H18" s="10"/>
      <c r="I18" s="10"/>
      <c r="J18" s="10"/>
      <c r="K18" s="10"/>
      <c r="L18" s="10"/>
      <c r="M18" s="11"/>
      <c r="N18" s="10">
        <f>Construction!$L$20</f>
        <v>3000</v>
      </c>
      <c r="O18" s="12">
        <f t="shared" si="7"/>
        <v>3000</v>
      </c>
      <c r="P18" s="9" t="s">
        <v>91</v>
      </c>
      <c r="Q18" s="10"/>
      <c r="R18" s="9"/>
    </row>
    <row r="19" spans="1:18" ht="29" x14ac:dyDescent="0.35">
      <c r="A19" s="7" t="s">
        <v>101</v>
      </c>
      <c r="B19" s="8" t="s">
        <v>102</v>
      </c>
      <c r="C19" s="9" t="s">
        <v>103</v>
      </c>
      <c r="D19" s="7" t="s">
        <v>89</v>
      </c>
      <c r="E19" s="7" t="s">
        <v>90</v>
      </c>
      <c r="F19" s="9"/>
      <c r="G19" s="7"/>
      <c r="H19" s="10"/>
      <c r="I19" s="10"/>
      <c r="J19" s="10"/>
      <c r="K19" s="10"/>
      <c r="L19" s="10"/>
      <c r="M19" s="11"/>
      <c r="N19" s="10">
        <f>Construction!$L$21</f>
        <v>8100</v>
      </c>
      <c r="O19" s="12">
        <f t="shared" si="7"/>
        <v>8100</v>
      </c>
      <c r="P19" s="9" t="s">
        <v>91</v>
      </c>
      <c r="Q19" s="10"/>
      <c r="R19" s="9"/>
    </row>
    <row r="20" spans="1:18" ht="29" x14ac:dyDescent="0.35">
      <c r="A20" s="7" t="s">
        <v>104</v>
      </c>
      <c r="B20" s="8" t="s">
        <v>105</v>
      </c>
      <c r="C20" s="9" t="s">
        <v>106</v>
      </c>
      <c r="D20" s="7" t="s">
        <v>89</v>
      </c>
      <c r="E20" s="7" t="s">
        <v>90</v>
      </c>
      <c r="F20" s="9"/>
      <c r="G20" s="7"/>
      <c r="H20" s="10"/>
      <c r="I20" s="10"/>
      <c r="J20" s="10"/>
      <c r="K20" s="10"/>
      <c r="L20" s="10"/>
      <c r="M20" s="11"/>
      <c r="N20" s="10">
        <f>Construction!$L$22</f>
        <v>4500</v>
      </c>
      <c r="O20" s="12">
        <f t="shared" si="7"/>
        <v>4500</v>
      </c>
      <c r="P20" s="9" t="s">
        <v>91</v>
      </c>
      <c r="Q20" s="10"/>
      <c r="R20" s="9"/>
    </row>
    <row r="21" spans="1:18" ht="29" x14ac:dyDescent="0.35">
      <c r="A21" s="7" t="s">
        <v>107</v>
      </c>
      <c r="B21" s="8" t="s">
        <v>108</v>
      </c>
      <c r="C21" s="9" t="s">
        <v>109</v>
      </c>
      <c r="D21" s="7" t="s">
        <v>89</v>
      </c>
      <c r="E21" s="7" t="s">
        <v>90</v>
      </c>
      <c r="F21" s="9"/>
      <c r="G21" s="7"/>
      <c r="H21" s="10"/>
      <c r="I21" s="10"/>
      <c r="J21" s="10"/>
      <c r="K21" s="10"/>
      <c r="L21" s="10"/>
      <c r="M21" s="11"/>
      <c r="N21" s="10">
        <f>Construction!$L$23</f>
        <v>9635</v>
      </c>
      <c r="O21" s="12">
        <f t="shared" si="7"/>
        <v>9635</v>
      </c>
      <c r="P21" s="9" t="s">
        <v>91</v>
      </c>
      <c r="Q21" s="10"/>
      <c r="R21" s="9"/>
    </row>
    <row r="22" spans="1:18" ht="29" x14ac:dyDescent="0.35">
      <c r="A22" s="7" t="s">
        <v>110</v>
      </c>
      <c r="B22" s="8" t="s">
        <v>111</v>
      </c>
      <c r="C22" s="9" t="s">
        <v>112</v>
      </c>
      <c r="D22" s="7" t="s">
        <v>89</v>
      </c>
      <c r="E22" s="7" t="s">
        <v>90</v>
      </c>
      <c r="F22" s="9"/>
      <c r="G22" s="7"/>
      <c r="H22" s="10"/>
      <c r="I22" s="10"/>
      <c r="J22" s="10"/>
      <c r="K22" s="10"/>
      <c r="L22" s="10"/>
      <c r="M22" s="11"/>
      <c r="N22" s="10">
        <f>Construction!$L$24</f>
        <v>12500</v>
      </c>
      <c r="O22" s="12">
        <f t="shared" si="7"/>
        <v>12500</v>
      </c>
      <c r="P22" s="9" t="s">
        <v>91</v>
      </c>
      <c r="Q22" s="10"/>
      <c r="R22" s="9"/>
    </row>
    <row r="23" spans="1:18" ht="29" x14ac:dyDescent="0.35">
      <c r="A23" s="7" t="s">
        <v>113</v>
      </c>
      <c r="B23" s="8" t="s">
        <v>114</v>
      </c>
      <c r="C23" s="9" t="s">
        <v>115</v>
      </c>
      <c r="D23" s="7" t="s">
        <v>89</v>
      </c>
      <c r="E23" s="7" t="s">
        <v>90</v>
      </c>
      <c r="F23" s="9"/>
      <c r="G23" s="7"/>
      <c r="H23" s="10"/>
      <c r="I23" s="10"/>
      <c r="J23" s="10"/>
      <c r="K23" s="10"/>
      <c r="L23" s="10"/>
      <c r="M23" s="11"/>
      <c r="N23" s="10">
        <f>Construction!$L$25</f>
        <v>9300</v>
      </c>
      <c r="O23" s="12">
        <f t="shared" si="7"/>
        <v>9300</v>
      </c>
      <c r="P23" s="9" t="s">
        <v>91</v>
      </c>
      <c r="Q23" s="10"/>
      <c r="R23" s="9"/>
    </row>
    <row r="24" spans="1:18" ht="29" x14ac:dyDescent="0.35">
      <c r="A24" s="7" t="s">
        <v>116</v>
      </c>
      <c r="B24" s="8" t="s">
        <v>117</v>
      </c>
      <c r="C24" s="9" t="s">
        <v>118</v>
      </c>
      <c r="D24" s="7" t="s">
        <v>89</v>
      </c>
      <c r="E24" s="7" t="s">
        <v>90</v>
      </c>
      <c r="F24" s="9"/>
      <c r="G24" s="7"/>
      <c r="H24" s="10"/>
      <c r="I24" s="10"/>
      <c r="J24" s="10"/>
      <c r="K24" s="10"/>
      <c r="L24" s="10"/>
      <c r="M24" s="11"/>
      <c r="N24" s="10">
        <f>Construction!$L$26</f>
        <v>9500</v>
      </c>
      <c r="O24" s="12">
        <f t="shared" si="7"/>
        <v>9500</v>
      </c>
      <c r="P24" s="9" t="s">
        <v>91</v>
      </c>
      <c r="Q24" s="10"/>
      <c r="R24" s="9"/>
    </row>
    <row r="25" spans="1:18" ht="29" x14ac:dyDescent="0.35">
      <c r="A25" s="7" t="s">
        <v>119</v>
      </c>
      <c r="B25" s="8" t="s">
        <v>120</v>
      </c>
      <c r="C25" s="9" t="s">
        <v>121</v>
      </c>
      <c r="D25" s="7" t="s">
        <v>89</v>
      </c>
      <c r="E25" s="7" t="s">
        <v>90</v>
      </c>
      <c r="F25" s="9"/>
      <c r="G25" s="7"/>
      <c r="H25" s="10"/>
      <c r="I25" s="10"/>
      <c r="J25" s="10"/>
      <c r="K25" s="10"/>
      <c r="L25" s="10"/>
      <c r="M25" s="11"/>
      <c r="N25" s="10">
        <f>Construction!$L$27</f>
        <v>9550</v>
      </c>
      <c r="O25" s="12">
        <f t="shared" si="7"/>
        <v>9550</v>
      </c>
      <c r="P25" s="9" t="s">
        <v>91</v>
      </c>
      <c r="Q25" s="10"/>
      <c r="R25" s="9"/>
    </row>
    <row r="26" spans="1:18" ht="29" x14ac:dyDescent="0.35">
      <c r="A26" s="7" t="s">
        <v>122</v>
      </c>
      <c r="B26" s="8" t="s">
        <v>123</v>
      </c>
      <c r="C26" s="9" t="s">
        <v>124</v>
      </c>
      <c r="D26" s="7" t="s">
        <v>43</v>
      </c>
      <c r="E26" s="7" t="s">
        <v>90</v>
      </c>
      <c r="F26" s="9"/>
      <c r="G26" s="7"/>
      <c r="H26" s="10"/>
      <c r="I26" s="10"/>
      <c r="J26" s="10"/>
      <c r="K26" s="10"/>
      <c r="L26" s="10"/>
      <c r="M26" s="11"/>
      <c r="N26" s="10">
        <f>Construction!$K$30</f>
        <v>600.125</v>
      </c>
      <c r="O26" s="12">
        <f t="shared" si="7"/>
        <v>600.125</v>
      </c>
      <c r="P26" s="9" t="s">
        <v>91</v>
      </c>
      <c r="Q26" s="10"/>
      <c r="R26" s="9"/>
    </row>
    <row r="27" spans="1:18" ht="29" x14ac:dyDescent="0.35">
      <c r="A27" s="7" t="s">
        <v>125</v>
      </c>
      <c r="B27" s="8" t="s">
        <v>126</v>
      </c>
      <c r="C27" s="9" t="s">
        <v>127</v>
      </c>
      <c r="D27" s="7" t="s">
        <v>43</v>
      </c>
      <c r="E27" s="7" t="s">
        <v>90</v>
      </c>
      <c r="F27" s="9"/>
      <c r="G27" s="7"/>
      <c r="H27" s="10"/>
      <c r="I27" s="10"/>
      <c r="J27" s="10"/>
      <c r="K27" s="10"/>
      <c r="L27" s="10"/>
      <c r="M27" s="11"/>
      <c r="N27" s="10">
        <f>Construction!$K$31</f>
        <v>320.9425</v>
      </c>
      <c r="O27" s="12">
        <f t="shared" si="7"/>
        <v>320.9425</v>
      </c>
      <c r="P27" s="9" t="s">
        <v>91</v>
      </c>
      <c r="Q27" s="10"/>
      <c r="R27" s="9"/>
    </row>
    <row r="28" spans="1:18" ht="29" x14ac:dyDescent="0.35">
      <c r="A28" s="7" t="s">
        <v>128</v>
      </c>
      <c r="B28" s="8" t="s">
        <v>129</v>
      </c>
      <c r="C28" s="9" t="s">
        <v>130</v>
      </c>
      <c r="D28" s="7" t="s">
        <v>43</v>
      </c>
      <c r="E28" s="7" t="s">
        <v>90</v>
      </c>
      <c r="F28" s="9"/>
      <c r="G28" s="7"/>
      <c r="H28" s="10"/>
      <c r="I28" s="10"/>
      <c r="J28" s="10"/>
      <c r="K28" s="10"/>
      <c r="L28" s="10"/>
      <c r="M28" s="11"/>
      <c r="N28" s="10">
        <f>Construction!$K$32</f>
        <v>1001</v>
      </c>
      <c r="O28" s="12">
        <f t="shared" si="7"/>
        <v>1001</v>
      </c>
      <c r="P28" s="9" t="s">
        <v>91</v>
      </c>
      <c r="Q28" s="10"/>
      <c r="R28" s="9"/>
    </row>
    <row r="29" spans="1:18" ht="29" x14ac:dyDescent="0.35">
      <c r="A29" s="7" t="s">
        <v>131</v>
      </c>
      <c r="B29" s="8" t="s">
        <v>132</v>
      </c>
      <c r="C29" s="9" t="s">
        <v>133</v>
      </c>
      <c r="D29" s="7" t="s">
        <v>43</v>
      </c>
      <c r="E29" s="7" t="s">
        <v>90</v>
      </c>
      <c r="F29" s="9"/>
      <c r="G29" s="7"/>
      <c r="H29" s="10"/>
      <c r="I29" s="10"/>
      <c r="J29" s="10"/>
      <c r="K29" s="10"/>
      <c r="L29" s="10"/>
      <c r="M29" s="11"/>
      <c r="N29" s="10">
        <f>Construction!$K$33</f>
        <v>500.08</v>
      </c>
      <c r="O29" s="12">
        <f t="shared" si="7"/>
        <v>500.08</v>
      </c>
      <c r="P29" s="9" t="s">
        <v>91</v>
      </c>
      <c r="Q29" s="10"/>
      <c r="R29" s="9"/>
    </row>
    <row r="30" spans="1:18" ht="29" x14ac:dyDescent="0.35">
      <c r="A30" s="7" t="s">
        <v>134</v>
      </c>
      <c r="B30" s="8" t="s">
        <v>135</v>
      </c>
      <c r="C30" s="9" t="s">
        <v>136</v>
      </c>
      <c r="D30" s="7" t="s">
        <v>43</v>
      </c>
      <c r="E30" s="7" t="s">
        <v>90</v>
      </c>
      <c r="F30" s="9"/>
      <c r="G30" s="7"/>
      <c r="H30" s="10"/>
      <c r="I30" s="10"/>
      <c r="J30" s="10"/>
      <c r="K30" s="10"/>
      <c r="L30" s="10"/>
      <c r="M30" s="11"/>
      <c r="N30" s="10">
        <f>Construction!$E$39</f>
        <v>330</v>
      </c>
      <c r="O30" s="12">
        <f t="shared" si="7"/>
        <v>330</v>
      </c>
      <c r="P30" s="9" t="s">
        <v>91</v>
      </c>
      <c r="Q30" s="10"/>
      <c r="R30" s="9"/>
    </row>
    <row r="31" spans="1:18" ht="29" x14ac:dyDescent="0.35">
      <c r="A31" s="7" t="s">
        <v>137</v>
      </c>
      <c r="B31" s="8" t="s">
        <v>138</v>
      </c>
      <c r="C31" s="9" t="s">
        <v>139</v>
      </c>
      <c r="D31" s="7" t="s">
        <v>43</v>
      </c>
      <c r="E31" s="7" t="s">
        <v>90</v>
      </c>
      <c r="F31" s="9"/>
      <c r="G31" s="7"/>
      <c r="H31" s="10"/>
      <c r="I31" s="10"/>
      <c r="J31" s="10"/>
      <c r="K31" s="10"/>
      <c r="L31" s="10"/>
      <c r="M31" s="11"/>
      <c r="N31" s="10">
        <f>Construction!$E$40</f>
        <v>350</v>
      </c>
      <c r="O31" s="12">
        <f t="shared" si="7"/>
        <v>350</v>
      </c>
      <c r="P31" s="9" t="s">
        <v>91</v>
      </c>
      <c r="Q31" s="10"/>
      <c r="R31" s="9"/>
    </row>
    <row r="32" spans="1:18" ht="29" x14ac:dyDescent="0.35">
      <c r="A32" s="7" t="s">
        <v>140</v>
      </c>
      <c r="B32" s="8" t="s">
        <v>141</v>
      </c>
      <c r="C32" s="9" t="s">
        <v>142</v>
      </c>
      <c r="D32" s="7" t="s">
        <v>43</v>
      </c>
      <c r="E32" s="7" t="s">
        <v>90</v>
      </c>
      <c r="F32" s="9"/>
      <c r="G32" s="7"/>
      <c r="H32" s="10"/>
      <c r="I32" s="10"/>
      <c r="J32" s="10"/>
      <c r="K32" s="10"/>
      <c r="L32" s="10"/>
      <c r="M32" s="11"/>
      <c r="N32" s="10">
        <f>Construction!$E$41</f>
        <v>260</v>
      </c>
      <c r="O32" s="12">
        <f t="shared" si="7"/>
        <v>260</v>
      </c>
      <c r="P32" s="9" t="s">
        <v>91</v>
      </c>
      <c r="Q32" s="10"/>
      <c r="R32" s="9"/>
    </row>
    <row r="33" spans="1:18" ht="29" x14ac:dyDescent="0.35">
      <c r="A33" s="7" t="s">
        <v>143</v>
      </c>
      <c r="B33" s="8" t="s">
        <v>144</v>
      </c>
      <c r="C33" s="9" t="s">
        <v>145</v>
      </c>
      <c r="D33" s="7" t="s">
        <v>43</v>
      </c>
      <c r="E33" s="7" t="s">
        <v>90</v>
      </c>
      <c r="F33" s="9"/>
      <c r="G33" s="7"/>
      <c r="H33" s="10"/>
      <c r="I33" s="10"/>
      <c r="J33" s="10"/>
      <c r="K33" s="10"/>
      <c r="L33" s="10"/>
      <c r="M33" s="11"/>
      <c r="N33" s="10">
        <f>Construction!$E$42</f>
        <v>250</v>
      </c>
      <c r="O33" s="12">
        <f t="shared" si="7"/>
        <v>250</v>
      </c>
      <c r="P33" s="9" t="s">
        <v>91</v>
      </c>
      <c r="Q33" s="10"/>
      <c r="R33" s="9"/>
    </row>
    <row r="34" spans="1:18" ht="29" x14ac:dyDescent="0.35">
      <c r="A34" s="7" t="s">
        <v>146</v>
      </c>
      <c r="B34" s="8" t="s">
        <v>147</v>
      </c>
      <c r="C34" s="9" t="s">
        <v>148</v>
      </c>
      <c r="D34" s="7" t="s">
        <v>43</v>
      </c>
      <c r="E34" s="7" t="s">
        <v>90</v>
      </c>
      <c r="F34" s="9"/>
      <c r="G34" s="7"/>
      <c r="H34" s="10"/>
      <c r="I34" s="10"/>
      <c r="J34" s="10"/>
      <c r="K34" s="10"/>
      <c r="L34" s="10"/>
      <c r="M34" s="11"/>
      <c r="N34" s="10">
        <f>Construction!$E$43</f>
        <v>185</v>
      </c>
      <c r="O34" s="12">
        <f t="shared" si="7"/>
        <v>185</v>
      </c>
      <c r="P34" s="9" t="s">
        <v>91</v>
      </c>
      <c r="Q34" s="10"/>
      <c r="R34" s="9"/>
    </row>
    <row r="35" spans="1:18" ht="29" x14ac:dyDescent="0.35">
      <c r="A35" s="7" t="s">
        <v>149</v>
      </c>
      <c r="B35" s="8" t="s">
        <v>150</v>
      </c>
      <c r="C35" s="9" t="s">
        <v>151</v>
      </c>
      <c r="D35" s="7" t="s">
        <v>43</v>
      </c>
      <c r="E35" s="7" t="s">
        <v>90</v>
      </c>
      <c r="F35" s="9"/>
      <c r="G35" s="7"/>
      <c r="H35" s="10"/>
      <c r="I35" s="10"/>
      <c r="J35" s="10"/>
      <c r="K35" s="10"/>
      <c r="L35" s="10"/>
      <c r="M35" s="11"/>
      <c r="N35" s="10">
        <f>Construction!$E$44</f>
        <v>270</v>
      </c>
      <c r="O35" s="12">
        <f t="shared" si="7"/>
        <v>270</v>
      </c>
      <c r="P35" s="9" t="s">
        <v>91</v>
      </c>
      <c r="Q35" s="10"/>
      <c r="R35" s="9"/>
    </row>
    <row r="36" spans="1:18" ht="29" x14ac:dyDescent="0.35">
      <c r="A36" s="7" t="s">
        <v>152</v>
      </c>
      <c r="B36" s="8" t="s">
        <v>153</v>
      </c>
      <c r="C36" s="9" t="s">
        <v>154</v>
      </c>
      <c r="D36" s="7" t="s">
        <v>43</v>
      </c>
      <c r="E36" s="7" t="s">
        <v>90</v>
      </c>
      <c r="F36" s="9"/>
      <c r="G36" s="7"/>
      <c r="H36" s="10"/>
      <c r="I36" s="10"/>
      <c r="J36" s="10"/>
      <c r="K36" s="10"/>
      <c r="L36" s="10"/>
      <c r="M36" s="11"/>
      <c r="N36" s="10">
        <f>Construction!$E$45</f>
        <v>4200</v>
      </c>
      <c r="O36" s="12">
        <f t="shared" si="7"/>
        <v>4200</v>
      </c>
      <c r="P36" s="9" t="s">
        <v>91</v>
      </c>
      <c r="Q36" s="10"/>
      <c r="R36" s="9"/>
    </row>
    <row r="37" spans="1:18" ht="29" x14ac:dyDescent="0.35">
      <c r="A37" s="7" t="s">
        <v>155</v>
      </c>
      <c r="B37" s="8" t="s">
        <v>156</v>
      </c>
      <c r="C37" s="9" t="s">
        <v>157</v>
      </c>
      <c r="D37" s="7" t="s">
        <v>43</v>
      </c>
      <c r="E37" s="7" t="s">
        <v>90</v>
      </c>
      <c r="F37" s="9"/>
      <c r="G37" s="7"/>
      <c r="H37" s="10"/>
      <c r="I37" s="10"/>
      <c r="J37" s="10"/>
      <c r="K37" s="10"/>
      <c r="L37" s="10"/>
      <c r="M37" s="11"/>
      <c r="N37" s="10">
        <f>Construction!$E$46</f>
        <v>300</v>
      </c>
      <c r="O37" s="12">
        <f t="shared" si="7"/>
        <v>300</v>
      </c>
      <c r="P37" s="9" t="s">
        <v>91</v>
      </c>
      <c r="Q37" s="10"/>
      <c r="R37" s="9"/>
    </row>
    <row r="38" spans="1:18" ht="29" x14ac:dyDescent="0.35">
      <c r="A38" s="7" t="s">
        <v>158</v>
      </c>
      <c r="B38" s="8" t="s">
        <v>159</v>
      </c>
      <c r="C38" s="9" t="s">
        <v>160</v>
      </c>
      <c r="D38" s="7" t="s">
        <v>43</v>
      </c>
      <c r="E38" s="7" t="s">
        <v>90</v>
      </c>
      <c r="F38" s="9"/>
      <c r="G38" s="7"/>
      <c r="H38" s="10"/>
      <c r="I38" s="10"/>
      <c r="J38" s="10"/>
      <c r="K38" s="10"/>
      <c r="L38" s="10"/>
      <c r="M38" s="11"/>
      <c r="N38" s="10">
        <f>Construction!$E$47</f>
        <v>2300</v>
      </c>
      <c r="O38" s="12">
        <f t="shared" si="7"/>
        <v>2300</v>
      </c>
      <c r="P38" s="9" t="s">
        <v>91</v>
      </c>
      <c r="Q38" s="10"/>
      <c r="R38" s="9"/>
    </row>
    <row r="39" spans="1:18" ht="29" x14ac:dyDescent="0.35">
      <c r="A39" s="7" t="s">
        <v>161</v>
      </c>
      <c r="B39" s="8" t="s">
        <v>162</v>
      </c>
      <c r="C39" s="9" t="s">
        <v>163</v>
      </c>
      <c r="D39" s="7" t="s">
        <v>164</v>
      </c>
      <c r="E39" s="7" t="s">
        <v>90</v>
      </c>
      <c r="F39" s="9"/>
      <c r="G39" s="7"/>
      <c r="H39" s="10"/>
      <c r="I39" s="10"/>
      <c r="J39" s="10"/>
      <c r="K39" s="10"/>
      <c r="L39" s="10"/>
      <c r="M39" s="11"/>
      <c r="N39" s="10">
        <f>Construction!$E$48</f>
        <v>750000</v>
      </c>
      <c r="O39" s="12">
        <f t="shared" si="7"/>
        <v>750000</v>
      </c>
      <c r="P39" s="9" t="s">
        <v>91</v>
      </c>
      <c r="Q39" s="10"/>
      <c r="R39" s="9"/>
    </row>
    <row r="40" spans="1:18" ht="29" x14ac:dyDescent="0.35">
      <c r="A40" s="13" t="s">
        <v>165</v>
      </c>
      <c r="B40" s="8" t="s">
        <v>166</v>
      </c>
      <c r="C40" s="9" t="s">
        <v>167</v>
      </c>
      <c r="D40" s="7" t="s">
        <v>33</v>
      </c>
      <c r="E40" s="7" t="s">
        <v>90</v>
      </c>
      <c r="F40" s="9"/>
      <c r="G40" s="7"/>
      <c r="H40" s="10"/>
      <c r="I40" s="10"/>
      <c r="J40" s="10"/>
      <c r="K40" s="10"/>
      <c r="L40" s="10"/>
      <c r="M40" s="11"/>
      <c r="N40" s="10">
        <f>Construction!$E$49</f>
        <v>41000</v>
      </c>
      <c r="O40" s="14">
        <f t="shared" si="7"/>
        <v>41000</v>
      </c>
      <c r="P40" s="15" t="s">
        <v>168</v>
      </c>
      <c r="Q40" s="10"/>
      <c r="R40" s="9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27"/>
  <sheetViews>
    <sheetView workbookViewId="0">
      <pane ySplit="3" topLeftCell="A4" activePane="bottomLeft" state="frozen"/>
      <selection pane="bottomLeft"/>
    </sheetView>
  </sheetViews>
  <sheetFormatPr defaultRowHeight="14.5" x14ac:dyDescent="0.35"/>
  <cols>
    <col min="1" max="1" width="34" customWidth="1"/>
    <col min="2" max="2" width="36" customWidth="1"/>
    <col min="3" max="3" width="14" customWidth="1"/>
    <col min="4" max="4" width="46" customWidth="1"/>
    <col min="5" max="5" width="9" customWidth="1"/>
  </cols>
  <sheetData>
    <row r="1" spans="1:5" x14ac:dyDescent="0.35">
      <c r="A1" s="27" t="s">
        <v>169</v>
      </c>
      <c r="B1" s="28"/>
      <c r="C1" s="28"/>
      <c r="D1" s="28"/>
      <c r="E1" s="28"/>
    </row>
    <row r="3" spans="1:5" x14ac:dyDescent="0.35">
      <c r="A3" s="5" t="s">
        <v>170</v>
      </c>
      <c r="B3" s="5" t="s">
        <v>171</v>
      </c>
      <c r="C3" s="5" t="s">
        <v>172</v>
      </c>
      <c r="D3" s="5" t="s">
        <v>173</v>
      </c>
      <c r="E3" s="5" t="s">
        <v>174</v>
      </c>
    </row>
    <row r="4" spans="1:5" ht="29" x14ac:dyDescent="0.35">
      <c r="A4" s="9" t="s">
        <v>35</v>
      </c>
      <c r="B4" s="8" t="s">
        <v>175</v>
      </c>
      <c r="C4" s="10">
        <v>57600</v>
      </c>
      <c r="D4" s="9" t="s">
        <v>176</v>
      </c>
      <c r="E4" s="7">
        <v>7</v>
      </c>
    </row>
    <row r="5" spans="1:5" x14ac:dyDescent="0.35">
      <c r="A5" s="9" t="s">
        <v>39</v>
      </c>
      <c r="B5" s="8" t="s">
        <v>177</v>
      </c>
      <c r="C5" s="10">
        <v>51000</v>
      </c>
      <c r="D5" s="9" t="s">
        <v>176</v>
      </c>
      <c r="E5" s="7">
        <v>7</v>
      </c>
    </row>
    <row r="6" spans="1:5" x14ac:dyDescent="0.35">
      <c r="A6" s="9" t="s">
        <v>178</v>
      </c>
      <c r="B6" s="8" t="s">
        <v>179</v>
      </c>
      <c r="C6" s="10">
        <v>48000</v>
      </c>
      <c r="D6" s="9" t="s">
        <v>176</v>
      </c>
      <c r="E6" s="7">
        <v>7</v>
      </c>
    </row>
    <row r="7" spans="1:5" x14ac:dyDescent="0.35">
      <c r="A7" s="9" t="s">
        <v>180</v>
      </c>
      <c r="B7" s="8" t="s">
        <v>181</v>
      </c>
      <c r="C7" s="10">
        <v>54000</v>
      </c>
      <c r="D7" s="9" t="s">
        <v>176</v>
      </c>
      <c r="E7" s="7">
        <v>7</v>
      </c>
    </row>
    <row r="8" spans="1:5" x14ac:dyDescent="0.35">
      <c r="A8" s="9" t="s">
        <v>84</v>
      </c>
      <c r="B8" s="8" t="s">
        <v>182</v>
      </c>
      <c r="C8" s="10">
        <v>48000</v>
      </c>
      <c r="D8" s="9" t="s">
        <v>176</v>
      </c>
      <c r="E8" s="7">
        <v>8</v>
      </c>
    </row>
    <row r="9" spans="1:5" x14ac:dyDescent="0.35">
      <c r="A9" s="9" t="s">
        <v>183</v>
      </c>
      <c r="B9" s="8" t="s">
        <v>184</v>
      </c>
      <c r="C9" s="10">
        <v>45000</v>
      </c>
      <c r="D9" s="9" t="s">
        <v>176</v>
      </c>
      <c r="E9" s="7">
        <v>8</v>
      </c>
    </row>
    <row r="10" spans="1:5" x14ac:dyDescent="0.35">
      <c r="A10" s="9" t="s">
        <v>80</v>
      </c>
      <c r="B10" s="8" t="s">
        <v>185</v>
      </c>
      <c r="C10" s="10">
        <v>43000</v>
      </c>
      <c r="D10" s="9" t="s">
        <v>176</v>
      </c>
      <c r="E10" s="7">
        <v>8</v>
      </c>
    </row>
    <row r="11" spans="1:5" x14ac:dyDescent="0.35">
      <c r="A11" s="9" t="s">
        <v>73</v>
      </c>
      <c r="B11" s="8" t="s">
        <v>186</v>
      </c>
      <c r="C11" s="10">
        <v>54000</v>
      </c>
      <c r="D11" s="9" t="s">
        <v>176</v>
      </c>
      <c r="E11" s="7">
        <v>8</v>
      </c>
    </row>
    <row r="12" spans="1:5" x14ac:dyDescent="0.35">
      <c r="A12" s="9" t="s">
        <v>48</v>
      </c>
      <c r="B12" s="8" t="s">
        <v>187</v>
      </c>
      <c r="C12" s="10">
        <v>46000</v>
      </c>
      <c r="D12" s="9" t="s">
        <v>176</v>
      </c>
      <c r="E12" s="7">
        <v>134</v>
      </c>
    </row>
    <row r="13" spans="1:5" x14ac:dyDescent="0.35">
      <c r="A13" s="9" t="s">
        <v>63</v>
      </c>
      <c r="B13" s="8" t="s">
        <v>188</v>
      </c>
      <c r="C13" s="10">
        <v>52000</v>
      </c>
      <c r="D13" s="9" t="s">
        <v>176</v>
      </c>
      <c r="E13" s="7">
        <v>134</v>
      </c>
    </row>
    <row r="14" spans="1:5" ht="29" x14ac:dyDescent="0.35">
      <c r="A14" s="9" t="s">
        <v>68</v>
      </c>
      <c r="B14" s="8" t="s">
        <v>189</v>
      </c>
      <c r="C14" s="10">
        <v>46700</v>
      </c>
      <c r="D14" s="9" t="s">
        <v>190</v>
      </c>
      <c r="E14" s="7"/>
    </row>
    <row r="16" spans="1:5" x14ac:dyDescent="0.35">
      <c r="A16" s="5" t="s">
        <v>191</v>
      </c>
      <c r="B16" s="5" t="s">
        <v>192</v>
      </c>
      <c r="C16" s="5" t="s">
        <v>193</v>
      </c>
      <c r="D16" s="5" t="s">
        <v>173</v>
      </c>
      <c r="E16" s="5" t="s">
        <v>15</v>
      </c>
    </row>
    <row r="17" spans="1:5" x14ac:dyDescent="0.35">
      <c r="A17" s="9" t="s">
        <v>194</v>
      </c>
      <c r="B17" s="8" t="s">
        <v>195</v>
      </c>
      <c r="C17" s="10">
        <v>15000</v>
      </c>
      <c r="D17" s="9" t="s">
        <v>196</v>
      </c>
      <c r="E17" s="7" t="s">
        <v>197</v>
      </c>
    </row>
    <row r="18" spans="1:5" ht="29" x14ac:dyDescent="0.35">
      <c r="A18" s="15" t="s">
        <v>198</v>
      </c>
      <c r="B18" s="17" t="s">
        <v>199</v>
      </c>
      <c r="C18" s="18">
        <v>30000</v>
      </c>
      <c r="D18" s="15" t="s">
        <v>200</v>
      </c>
      <c r="E18" s="13" t="s">
        <v>197</v>
      </c>
    </row>
    <row r="19" spans="1:5" x14ac:dyDescent="0.35">
      <c r="A19" s="15" t="s">
        <v>201</v>
      </c>
      <c r="B19" s="17" t="s">
        <v>202</v>
      </c>
      <c r="C19" s="18">
        <v>2500</v>
      </c>
      <c r="D19" s="15" t="s">
        <v>200</v>
      </c>
      <c r="E19" s="13" t="s">
        <v>197</v>
      </c>
    </row>
    <row r="20" spans="1:5" x14ac:dyDescent="0.35">
      <c r="A20" s="15" t="s">
        <v>203</v>
      </c>
      <c r="B20" s="17" t="s">
        <v>204</v>
      </c>
      <c r="C20" s="19">
        <v>0.05</v>
      </c>
      <c r="D20" s="15" t="s">
        <v>200</v>
      </c>
      <c r="E20" s="13" t="s">
        <v>205</v>
      </c>
    </row>
    <row r="21" spans="1:5" x14ac:dyDescent="0.35">
      <c r="A21" s="15" t="s">
        <v>206</v>
      </c>
      <c r="B21" s="17" t="s">
        <v>207</v>
      </c>
      <c r="C21" s="19">
        <v>0.1</v>
      </c>
      <c r="D21" s="15" t="s">
        <v>200</v>
      </c>
      <c r="E21" s="13" t="s">
        <v>205</v>
      </c>
    </row>
    <row r="22" spans="1:5" ht="29" x14ac:dyDescent="0.35">
      <c r="A22" s="15" t="s">
        <v>208</v>
      </c>
      <c r="B22" s="17" t="s">
        <v>209</v>
      </c>
      <c r="C22" s="19">
        <v>0.03</v>
      </c>
      <c r="D22" s="15" t="s">
        <v>200</v>
      </c>
      <c r="E22" s="13" t="s">
        <v>205</v>
      </c>
    </row>
    <row r="23" spans="1:5" ht="29" x14ac:dyDescent="0.35">
      <c r="A23" s="9" t="s">
        <v>210</v>
      </c>
      <c r="B23" s="8" t="s">
        <v>211</v>
      </c>
      <c r="C23" s="10">
        <v>1200</v>
      </c>
      <c r="D23" s="9" t="s">
        <v>212</v>
      </c>
      <c r="E23" s="7" t="s">
        <v>197</v>
      </c>
    </row>
    <row r="24" spans="1:5" ht="29" x14ac:dyDescent="0.35">
      <c r="A24" s="15" t="s">
        <v>213</v>
      </c>
      <c r="B24" s="17" t="s">
        <v>214</v>
      </c>
      <c r="C24" s="18">
        <v>200</v>
      </c>
      <c r="D24" s="15" t="s">
        <v>215</v>
      </c>
      <c r="E24" s="13" t="s">
        <v>216</v>
      </c>
    </row>
    <row r="25" spans="1:5" x14ac:dyDescent="0.35">
      <c r="A25" s="9" t="s">
        <v>217</v>
      </c>
      <c r="B25" s="8" t="s">
        <v>218</v>
      </c>
      <c r="C25" s="10">
        <v>25</v>
      </c>
      <c r="D25" s="9" t="s">
        <v>196</v>
      </c>
      <c r="E25" s="7" t="s">
        <v>216</v>
      </c>
    </row>
    <row r="26" spans="1:5" ht="29" x14ac:dyDescent="0.35">
      <c r="A26" s="15" t="s">
        <v>219</v>
      </c>
      <c r="B26" s="17" t="s">
        <v>220</v>
      </c>
      <c r="C26" s="18">
        <v>650</v>
      </c>
      <c r="D26" s="15" t="s">
        <v>221</v>
      </c>
      <c r="E26" s="13" t="s">
        <v>216</v>
      </c>
    </row>
    <row r="27" spans="1:5" x14ac:dyDescent="0.35">
      <c r="A27" s="9" t="s">
        <v>222</v>
      </c>
      <c r="B27" s="8" t="s">
        <v>223</v>
      </c>
      <c r="C27" s="10">
        <v>50</v>
      </c>
      <c r="D27" s="9" t="s">
        <v>196</v>
      </c>
      <c r="E27" s="7" t="s">
        <v>216</v>
      </c>
    </row>
  </sheetData>
  <mergeCells count="1"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L49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13" customWidth="1"/>
    <col min="2" max="3" width="40" customWidth="1"/>
    <col min="4" max="12" width="12" customWidth="1"/>
  </cols>
  <sheetData>
    <row r="1" spans="1:8" x14ac:dyDescent="0.35">
      <c r="A1" s="16" t="s">
        <v>224</v>
      </c>
    </row>
    <row r="3" spans="1:8" ht="29" x14ac:dyDescent="0.35">
      <c r="A3" s="5" t="s">
        <v>225</v>
      </c>
      <c r="B3" s="5" t="s">
        <v>14</v>
      </c>
      <c r="C3" s="5" t="s">
        <v>13</v>
      </c>
      <c r="D3" s="5" t="s">
        <v>15</v>
      </c>
      <c r="E3" s="5" t="s">
        <v>226</v>
      </c>
      <c r="F3" s="5" t="s">
        <v>210</v>
      </c>
      <c r="G3" s="5" t="s">
        <v>227</v>
      </c>
      <c r="H3" s="5" t="s">
        <v>27</v>
      </c>
    </row>
    <row r="4" spans="1:8" x14ac:dyDescent="0.35">
      <c r="A4" s="7" t="s">
        <v>228</v>
      </c>
      <c r="B4" s="9" t="s">
        <v>229</v>
      </c>
      <c r="C4" s="8" t="s">
        <v>230</v>
      </c>
      <c r="D4" s="7" t="s">
        <v>33</v>
      </c>
      <c r="E4" s="20">
        <v>36800</v>
      </c>
      <c r="F4" s="20">
        <v>1200</v>
      </c>
      <c r="G4" s="20">
        <f t="shared" ref="G4:G16" si="0">E4+F4</f>
        <v>38000</v>
      </c>
      <c r="H4" s="9"/>
    </row>
    <row r="5" spans="1:8" x14ac:dyDescent="0.35">
      <c r="A5" s="7" t="s">
        <v>231</v>
      </c>
      <c r="B5" s="9" t="s">
        <v>232</v>
      </c>
      <c r="C5" s="8" t="s">
        <v>233</v>
      </c>
      <c r="D5" s="7" t="s">
        <v>33</v>
      </c>
      <c r="E5" s="20">
        <v>4100</v>
      </c>
      <c r="F5" s="20">
        <v>300</v>
      </c>
      <c r="G5" s="20">
        <f t="shared" si="0"/>
        <v>4400</v>
      </c>
      <c r="H5" s="9"/>
    </row>
    <row r="6" spans="1:8" x14ac:dyDescent="0.35">
      <c r="A6" s="7" t="s">
        <v>234</v>
      </c>
      <c r="B6" s="9" t="s">
        <v>235</v>
      </c>
      <c r="C6" s="8" t="s">
        <v>236</v>
      </c>
      <c r="D6" s="7" t="s">
        <v>89</v>
      </c>
      <c r="E6" s="20">
        <v>150</v>
      </c>
      <c r="F6" s="20">
        <v>150</v>
      </c>
      <c r="G6" s="20">
        <f t="shared" si="0"/>
        <v>300</v>
      </c>
      <c r="H6" s="9"/>
    </row>
    <row r="7" spans="1:8" ht="29" x14ac:dyDescent="0.35">
      <c r="A7" s="7" t="s">
        <v>237</v>
      </c>
      <c r="B7" s="9" t="s">
        <v>238</v>
      </c>
      <c r="C7" s="8" t="s">
        <v>239</v>
      </c>
      <c r="D7" s="7" t="s">
        <v>89</v>
      </c>
      <c r="E7" s="20">
        <v>3000</v>
      </c>
      <c r="F7" s="20">
        <v>0</v>
      </c>
      <c r="G7" s="20">
        <f t="shared" si="0"/>
        <v>3000</v>
      </c>
      <c r="H7" s="9"/>
    </row>
    <row r="8" spans="1:8" x14ac:dyDescent="0.35">
      <c r="A8" s="7" t="s">
        <v>240</v>
      </c>
      <c r="B8" s="9" t="s">
        <v>241</v>
      </c>
      <c r="C8" s="8" t="s">
        <v>242</v>
      </c>
      <c r="D8" s="7" t="s">
        <v>89</v>
      </c>
      <c r="E8" s="20">
        <v>200</v>
      </c>
      <c r="F8" s="20">
        <v>0</v>
      </c>
      <c r="G8" s="20">
        <f t="shared" si="0"/>
        <v>200</v>
      </c>
      <c r="H8" s="9"/>
    </row>
    <row r="9" spans="1:8" x14ac:dyDescent="0.35">
      <c r="A9" s="7" t="s">
        <v>243</v>
      </c>
      <c r="B9" s="9" t="s">
        <v>244</v>
      </c>
      <c r="C9" s="8" t="s">
        <v>245</v>
      </c>
      <c r="D9" s="7" t="s">
        <v>89</v>
      </c>
      <c r="E9" s="20">
        <v>2600</v>
      </c>
      <c r="F9" s="20">
        <v>0</v>
      </c>
      <c r="G9" s="20">
        <f t="shared" si="0"/>
        <v>2600</v>
      </c>
      <c r="H9" s="9"/>
    </row>
    <row r="10" spans="1:8" ht="29" x14ac:dyDescent="0.35">
      <c r="A10" s="7" t="s">
        <v>246</v>
      </c>
      <c r="B10" s="9" t="s">
        <v>247</v>
      </c>
      <c r="C10" s="8" t="s">
        <v>248</v>
      </c>
      <c r="D10" s="7" t="s">
        <v>249</v>
      </c>
      <c r="E10" s="20">
        <v>2200</v>
      </c>
      <c r="F10" s="20">
        <v>250</v>
      </c>
      <c r="G10" s="20">
        <f t="shared" si="0"/>
        <v>2450</v>
      </c>
      <c r="H10" s="9"/>
    </row>
    <row r="11" spans="1:8" ht="101.5" x14ac:dyDescent="0.35">
      <c r="A11" s="13" t="s">
        <v>250</v>
      </c>
      <c r="B11" s="15" t="s">
        <v>251</v>
      </c>
      <c r="C11" s="17" t="s">
        <v>252</v>
      </c>
      <c r="D11" s="13" t="s">
        <v>249</v>
      </c>
      <c r="E11" s="21">
        <v>3800</v>
      </c>
      <c r="F11" s="21">
        <v>200</v>
      </c>
      <c r="G11" s="21">
        <f t="shared" si="0"/>
        <v>4000</v>
      </c>
      <c r="H11" s="15" t="s">
        <v>253</v>
      </c>
    </row>
    <row r="12" spans="1:8" x14ac:dyDescent="0.35">
      <c r="A12" s="7" t="s">
        <v>254</v>
      </c>
      <c r="B12" s="9" t="s">
        <v>255</v>
      </c>
      <c r="C12" s="8" t="s">
        <v>256</v>
      </c>
      <c r="D12" s="7" t="s">
        <v>33</v>
      </c>
      <c r="E12" s="20">
        <v>3000</v>
      </c>
      <c r="F12" s="20">
        <v>0</v>
      </c>
      <c r="G12" s="20">
        <f t="shared" si="0"/>
        <v>3000</v>
      </c>
      <c r="H12" s="9"/>
    </row>
    <row r="13" spans="1:8" x14ac:dyDescent="0.35">
      <c r="A13" s="7" t="s">
        <v>257</v>
      </c>
      <c r="B13" s="9" t="s">
        <v>258</v>
      </c>
      <c r="C13" s="8" t="s">
        <v>259</v>
      </c>
      <c r="D13" s="7" t="s">
        <v>43</v>
      </c>
      <c r="E13" s="20">
        <v>250</v>
      </c>
      <c r="F13" s="20">
        <v>0</v>
      </c>
      <c r="G13" s="20">
        <f t="shared" si="0"/>
        <v>250</v>
      </c>
      <c r="H13" s="9"/>
    </row>
    <row r="14" spans="1:8" x14ac:dyDescent="0.35">
      <c r="A14" s="7" t="s">
        <v>260</v>
      </c>
      <c r="B14" s="9" t="s">
        <v>261</v>
      </c>
      <c r="C14" s="8" t="s">
        <v>262</v>
      </c>
      <c r="D14" s="7" t="s">
        <v>89</v>
      </c>
      <c r="E14" s="20">
        <v>250</v>
      </c>
      <c r="F14" s="20">
        <v>0</v>
      </c>
      <c r="G14" s="20">
        <f t="shared" si="0"/>
        <v>250</v>
      </c>
      <c r="H14" s="9"/>
    </row>
    <row r="15" spans="1:8" x14ac:dyDescent="0.35">
      <c r="A15" s="7" t="s">
        <v>263</v>
      </c>
      <c r="B15" s="9" t="s">
        <v>264</v>
      </c>
      <c r="C15" s="8" t="s">
        <v>265</v>
      </c>
      <c r="D15" s="7" t="s">
        <v>43</v>
      </c>
      <c r="E15" s="20">
        <v>200</v>
      </c>
      <c r="F15" s="20">
        <v>0</v>
      </c>
      <c r="G15" s="20">
        <f t="shared" si="0"/>
        <v>200</v>
      </c>
      <c r="H15" s="9"/>
    </row>
    <row r="16" spans="1:8" x14ac:dyDescent="0.35">
      <c r="A16" s="7" t="s">
        <v>266</v>
      </c>
      <c r="B16" s="9" t="s">
        <v>267</v>
      </c>
      <c r="C16" s="8" t="s">
        <v>268</v>
      </c>
      <c r="D16" s="7" t="s">
        <v>43</v>
      </c>
      <c r="E16" s="20">
        <v>110</v>
      </c>
      <c r="F16" s="20">
        <v>0</v>
      </c>
      <c r="G16" s="20">
        <f t="shared" si="0"/>
        <v>110</v>
      </c>
      <c r="H16" s="9"/>
    </row>
    <row r="17" spans="1:12" ht="29" x14ac:dyDescent="0.35">
      <c r="A17" s="7" t="s">
        <v>269</v>
      </c>
      <c r="B17" s="9" t="s">
        <v>270</v>
      </c>
      <c r="C17" s="8" t="s">
        <v>271</v>
      </c>
      <c r="D17" s="7" t="s">
        <v>89</v>
      </c>
      <c r="E17" s="7"/>
      <c r="F17" s="7"/>
      <c r="G17" s="20">
        <f>0.3*CCement+1*CSand</f>
        <v>1620</v>
      </c>
      <c r="H17" s="9"/>
    </row>
    <row r="19" spans="1:12" ht="29" x14ac:dyDescent="0.35">
      <c r="A19" s="5" t="s">
        <v>12</v>
      </c>
      <c r="B19" s="5" t="s">
        <v>272</v>
      </c>
      <c r="C19" s="5" t="s">
        <v>273</v>
      </c>
      <c r="D19" s="5" t="s">
        <v>274</v>
      </c>
      <c r="E19" s="5" t="s">
        <v>275</v>
      </c>
      <c r="F19" s="5" t="s">
        <v>276</v>
      </c>
      <c r="G19" s="5" t="s">
        <v>277</v>
      </c>
      <c r="H19" s="5" t="s">
        <v>278</v>
      </c>
      <c r="I19" s="5" t="s">
        <v>279</v>
      </c>
      <c r="J19" s="5" t="s">
        <v>280</v>
      </c>
      <c r="K19" s="5" t="s">
        <v>281</v>
      </c>
      <c r="L19" s="5" t="s">
        <v>282</v>
      </c>
    </row>
    <row r="20" spans="1:12" x14ac:dyDescent="0.35">
      <c r="A20" s="7" t="s">
        <v>98</v>
      </c>
      <c r="B20" s="9" t="s">
        <v>100</v>
      </c>
      <c r="C20" s="8" t="s">
        <v>99</v>
      </c>
      <c r="D20" s="7">
        <v>0</v>
      </c>
      <c r="E20" s="7">
        <v>0.5</v>
      </c>
      <c r="F20" s="20">
        <f>CPlain</f>
        <v>2600</v>
      </c>
      <c r="G20" s="20">
        <f t="shared" ref="G20:G27" si="1">D20*(CRebar+CFixing)/1000</f>
        <v>0</v>
      </c>
      <c r="H20" s="10">
        <f t="shared" ref="H20:H27" si="2">E20*CFormwork</f>
        <v>125</v>
      </c>
      <c r="I20" s="20">
        <f t="shared" ref="I20:I27" si="3">CCasting</f>
        <v>250</v>
      </c>
      <c r="J20" s="20">
        <f t="shared" ref="J20:J27" si="4">SUM(F20:I20)</f>
        <v>2975</v>
      </c>
      <c r="K20" s="20">
        <v>25</v>
      </c>
      <c r="L20" s="22">
        <f t="shared" ref="L20:L27" si="5">J20+K20</f>
        <v>3000</v>
      </c>
    </row>
    <row r="21" spans="1:12" x14ac:dyDescent="0.35">
      <c r="A21" s="7" t="s">
        <v>101</v>
      </c>
      <c r="B21" s="9" t="s">
        <v>103</v>
      </c>
      <c r="C21" s="8" t="s">
        <v>102</v>
      </c>
      <c r="D21" s="7">
        <v>100</v>
      </c>
      <c r="E21" s="7">
        <v>1</v>
      </c>
      <c r="F21" s="20">
        <f t="shared" ref="F21:F27" si="6">CReadyMix+CPump</f>
        <v>3200</v>
      </c>
      <c r="G21" s="20">
        <f t="shared" si="1"/>
        <v>4100</v>
      </c>
      <c r="H21" s="10">
        <f t="shared" si="2"/>
        <v>250</v>
      </c>
      <c r="I21" s="20">
        <f t="shared" si="3"/>
        <v>250</v>
      </c>
      <c r="J21" s="20">
        <f t="shared" si="4"/>
        <v>7800</v>
      </c>
      <c r="K21" s="20">
        <v>300</v>
      </c>
      <c r="L21" s="22">
        <f t="shared" si="5"/>
        <v>8100</v>
      </c>
    </row>
    <row r="22" spans="1:12" ht="29" x14ac:dyDescent="0.35">
      <c r="A22" s="7" t="s">
        <v>104</v>
      </c>
      <c r="B22" s="9" t="s">
        <v>106</v>
      </c>
      <c r="C22" s="8" t="s">
        <v>105</v>
      </c>
      <c r="D22" s="7">
        <v>50</v>
      </c>
      <c r="E22" s="7">
        <v>0.3</v>
      </c>
      <c r="F22" s="20">
        <f t="shared" si="6"/>
        <v>3200</v>
      </c>
      <c r="G22" s="20">
        <f t="shared" si="1"/>
        <v>2050</v>
      </c>
      <c r="H22" s="10">
        <f t="shared" si="2"/>
        <v>75</v>
      </c>
      <c r="I22" s="20">
        <f t="shared" si="3"/>
        <v>250</v>
      </c>
      <c r="J22" s="20">
        <f t="shared" si="4"/>
        <v>5575</v>
      </c>
      <c r="K22" s="20">
        <v>-1075</v>
      </c>
      <c r="L22" s="22">
        <f t="shared" si="5"/>
        <v>4500</v>
      </c>
    </row>
    <row r="23" spans="1:12" x14ac:dyDescent="0.35">
      <c r="A23" s="7" t="s">
        <v>107</v>
      </c>
      <c r="B23" s="9" t="s">
        <v>109</v>
      </c>
      <c r="C23" s="8" t="s">
        <v>108</v>
      </c>
      <c r="D23" s="7">
        <v>110</v>
      </c>
      <c r="E23" s="7">
        <v>6.7</v>
      </c>
      <c r="F23" s="20">
        <f t="shared" si="6"/>
        <v>3200</v>
      </c>
      <c r="G23" s="20">
        <f t="shared" si="1"/>
        <v>4510</v>
      </c>
      <c r="H23" s="10">
        <f t="shared" si="2"/>
        <v>1675</v>
      </c>
      <c r="I23" s="20">
        <f t="shared" si="3"/>
        <v>250</v>
      </c>
      <c r="J23" s="20">
        <f t="shared" si="4"/>
        <v>9635</v>
      </c>
      <c r="K23" s="20">
        <v>0</v>
      </c>
      <c r="L23" s="22">
        <f t="shared" si="5"/>
        <v>9635</v>
      </c>
    </row>
    <row r="24" spans="1:12" x14ac:dyDescent="0.35">
      <c r="A24" s="7" t="s">
        <v>110</v>
      </c>
      <c r="B24" s="9" t="s">
        <v>112</v>
      </c>
      <c r="C24" s="8" t="s">
        <v>111</v>
      </c>
      <c r="D24" s="7">
        <v>170</v>
      </c>
      <c r="E24" s="7">
        <v>11</v>
      </c>
      <c r="F24" s="20">
        <f t="shared" si="6"/>
        <v>3200</v>
      </c>
      <c r="G24" s="20">
        <f t="shared" si="1"/>
        <v>6970</v>
      </c>
      <c r="H24" s="10">
        <f t="shared" si="2"/>
        <v>2750</v>
      </c>
      <c r="I24" s="20">
        <f t="shared" si="3"/>
        <v>250</v>
      </c>
      <c r="J24" s="20">
        <f t="shared" si="4"/>
        <v>13170</v>
      </c>
      <c r="K24" s="20">
        <v>-670</v>
      </c>
      <c r="L24" s="22">
        <f t="shared" si="5"/>
        <v>12500</v>
      </c>
    </row>
    <row r="25" spans="1:12" x14ac:dyDescent="0.35">
      <c r="A25" s="7" t="s">
        <v>113</v>
      </c>
      <c r="B25" s="9" t="s">
        <v>115</v>
      </c>
      <c r="C25" s="8" t="s">
        <v>114</v>
      </c>
      <c r="D25" s="7">
        <v>130</v>
      </c>
      <c r="E25" s="7">
        <v>4.5</v>
      </c>
      <c r="F25" s="20">
        <f t="shared" si="6"/>
        <v>3200</v>
      </c>
      <c r="G25" s="20">
        <f t="shared" si="1"/>
        <v>5330</v>
      </c>
      <c r="H25" s="10">
        <f t="shared" si="2"/>
        <v>1125</v>
      </c>
      <c r="I25" s="20">
        <f t="shared" si="3"/>
        <v>250</v>
      </c>
      <c r="J25" s="20">
        <f t="shared" si="4"/>
        <v>9905</v>
      </c>
      <c r="K25" s="20">
        <v>-605</v>
      </c>
      <c r="L25" s="22">
        <f t="shared" si="5"/>
        <v>9300</v>
      </c>
    </row>
    <row r="26" spans="1:12" x14ac:dyDescent="0.35">
      <c r="A26" s="7" t="s">
        <v>116</v>
      </c>
      <c r="B26" s="9" t="s">
        <v>118</v>
      </c>
      <c r="C26" s="8" t="s">
        <v>117</v>
      </c>
      <c r="D26" s="7">
        <v>110</v>
      </c>
      <c r="E26" s="7">
        <v>5</v>
      </c>
      <c r="F26" s="20">
        <f t="shared" si="6"/>
        <v>3200</v>
      </c>
      <c r="G26" s="20">
        <f t="shared" si="1"/>
        <v>4510</v>
      </c>
      <c r="H26" s="10">
        <f t="shared" si="2"/>
        <v>1250</v>
      </c>
      <c r="I26" s="20">
        <f t="shared" si="3"/>
        <v>250</v>
      </c>
      <c r="J26" s="20">
        <f t="shared" si="4"/>
        <v>9210</v>
      </c>
      <c r="K26" s="20">
        <v>290</v>
      </c>
      <c r="L26" s="22">
        <f t="shared" si="5"/>
        <v>9500</v>
      </c>
    </row>
    <row r="27" spans="1:12" x14ac:dyDescent="0.35">
      <c r="A27" s="7" t="s">
        <v>119</v>
      </c>
      <c r="B27" s="9" t="s">
        <v>121</v>
      </c>
      <c r="C27" s="8" t="s">
        <v>120</v>
      </c>
      <c r="D27" s="7">
        <v>100</v>
      </c>
      <c r="E27" s="7">
        <v>10</v>
      </c>
      <c r="F27" s="20">
        <f t="shared" si="6"/>
        <v>3200</v>
      </c>
      <c r="G27" s="20">
        <f t="shared" si="1"/>
        <v>4100</v>
      </c>
      <c r="H27" s="10">
        <f t="shared" si="2"/>
        <v>2500</v>
      </c>
      <c r="I27" s="20">
        <f t="shared" si="3"/>
        <v>250</v>
      </c>
      <c r="J27" s="20">
        <f t="shared" si="4"/>
        <v>10050</v>
      </c>
      <c r="K27" s="20">
        <v>-500</v>
      </c>
      <c r="L27" s="22">
        <f t="shared" si="5"/>
        <v>9550</v>
      </c>
    </row>
    <row r="29" spans="1:12" ht="29" x14ac:dyDescent="0.35">
      <c r="A29" s="5" t="s">
        <v>12</v>
      </c>
      <c r="B29" s="5" t="s">
        <v>283</v>
      </c>
      <c r="C29" s="5" t="s">
        <v>284</v>
      </c>
      <c r="D29" s="5" t="s">
        <v>285</v>
      </c>
      <c r="E29" s="5" t="s">
        <v>286</v>
      </c>
      <c r="F29" s="5" t="s">
        <v>287</v>
      </c>
      <c r="G29" s="5" t="s">
        <v>288</v>
      </c>
      <c r="H29" s="5" t="s">
        <v>21</v>
      </c>
      <c r="I29" s="5" t="s">
        <v>280</v>
      </c>
      <c r="J29" s="5" t="s">
        <v>281</v>
      </c>
      <c r="K29" s="5" t="s">
        <v>289</v>
      </c>
    </row>
    <row r="30" spans="1:12" ht="29" x14ac:dyDescent="0.35">
      <c r="A30" s="7" t="s">
        <v>122</v>
      </c>
      <c r="B30" s="9" t="s">
        <v>124</v>
      </c>
      <c r="C30" s="8" t="s">
        <v>123</v>
      </c>
      <c r="D30" s="7">
        <v>110</v>
      </c>
      <c r="E30" s="23">
        <v>0.75</v>
      </c>
      <c r="F30" s="24">
        <f>D30*(E30*CRedBrick+(1-E30)*CCementBrick)/1000</f>
        <v>312.125</v>
      </c>
      <c r="G30" s="24">
        <f>0.05*CMortar</f>
        <v>81</v>
      </c>
      <c r="H30" s="25">
        <f>CLabour25</f>
        <v>200</v>
      </c>
      <c r="I30" s="24">
        <f>SUM(F30:H30)</f>
        <v>593.125</v>
      </c>
      <c r="J30" s="24">
        <v>7</v>
      </c>
      <c r="K30" s="26">
        <f>I30+J30</f>
        <v>600.125</v>
      </c>
    </row>
    <row r="31" spans="1:12" ht="29" x14ac:dyDescent="0.35">
      <c r="A31" s="7" t="s">
        <v>125</v>
      </c>
      <c r="B31" s="9" t="s">
        <v>127</v>
      </c>
      <c r="C31" s="8" t="s">
        <v>126</v>
      </c>
      <c r="D31" s="7">
        <v>55</v>
      </c>
      <c r="E31" s="23">
        <v>0.75</v>
      </c>
      <c r="F31" s="24">
        <f>D31*(E31*CRedBrick+(1-E31)*CCementBrick)/1000</f>
        <v>156.0625</v>
      </c>
      <c r="G31" s="24">
        <f>0.024*CMortar</f>
        <v>38.880000000000003</v>
      </c>
      <c r="H31" s="25">
        <f>CLabour12</f>
        <v>110</v>
      </c>
      <c r="I31" s="24">
        <f>SUM(F31:H31)</f>
        <v>304.9425</v>
      </c>
      <c r="J31" s="24">
        <v>16</v>
      </c>
      <c r="K31" s="26">
        <f>I31+J31</f>
        <v>320.9425</v>
      </c>
    </row>
    <row r="32" spans="1:12" x14ac:dyDescent="0.35">
      <c r="A32" s="7" t="s">
        <v>128</v>
      </c>
      <c r="B32" s="9" t="s">
        <v>130</v>
      </c>
      <c r="C32" s="8" t="s">
        <v>129</v>
      </c>
      <c r="D32" s="7">
        <v>110</v>
      </c>
      <c r="E32" s="23">
        <v>0</v>
      </c>
      <c r="F32" s="24">
        <f>D32*(E32*CRedBrick+(1-E32)*CCementBrick)/1000</f>
        <v>440</v>
      </c>
      <c r="G32" s="24">
        <f>0.05*CMortar</f>
        <v>81</v>
      </c>
      <c r="H32" s="25">
        <f>CLabour25</f>
        <v>200</v>
      </c>
      <c r="I32" s="24">
        <f>SUM(F32:H32)</f>
        <v>721</v>
      </c>
      <c r="J32" s="24">
        <v>280</v>
      </c>
      <c r="K32" s="26">
        <f>I32+J32</f>
        <v>1001</v>
      </c>
    </row>
    <row r="33" spans="1:11" x14ac:dyDescent="0.35">
      <c r="A33" s="7" t="s">
        <v>131</v>
      </c>
      <c r="B33" s="9" t="s">
        <v>133</v>
      </c>
      <c r="C33" s="8" t="s">
        <v>132</v>
      </c>
      <c r="D33" s="7">
        <v>55</v>
      </c>
      <c r="E33" s="23">
        <v>0</v>
      </c>
      <c r="F33" s="24">
        <f>D33*(E33*CRedBrick+(1-E33)*CCementBrick)/1000</f>
        <v>220</v>
      </c>
      <c r="G33" s="24">
        <f>0.024*CMortar</f>
        <v>38.880000000000003</v>
      </c>
      <c r="H33" s="25">
        <f>CLabour12</f>
        <v>110</v>
      </c>
      <c r="I33" s="24">
        <f>SUM(F33:H33)</f>
        <v>368.88</v>
      </c>
      <c r="J33" s="24">
        <v>131.19999999999999</v>
      </c>
      <c r="K33" s="26">
        <f>I33+J33</f>
        <v>500.08</v>
      </c>
    </row>
    <row r="35" spans="1:11" x14ac:dyDescent="0.35">
      <c r="A35" s="5" t="s">
        <v>12</v>
      </c>
      <c r="B35" s="5" t="s">
        <v>14</v>
      </c>
      <c r="C35" s="5" t="s">
        <v>13</v>
      </c>
      <c r="D35" s="5" t="s">
        <v>15</v>
      </c>
      <c r="E35" s="5" t="s">
        <v>290</v>
      </c>
    </row>
    <row r="36" spans="1:11" x14ac:dyDescent="0.35">
      <c r="A36" s="7" t="s">
        <v>86</v>
      </c>
      <c r="B36" s="9" t="s">
        <v>88</v>
      </c>
      <c r="C36" s="8" t="s">
        <v>87</v>
      </c>
      <c r="D36" s="7" t="s">
        <v>89</v>
      </c>
      <c r="E36" s="22">
        <v>130</v>
      </c>
    </row>
    <row r="37" spans="1:11" ht="29" x14ac:dyDescent="0.35">
      <c r="A37" s="7" t="s">
        <v>92</v>
      </c>
      <c r="B37" s="9" t="s">
        <v>94</v>
      </c>
      <c r="C37" s="8" t="s">
        <v>93</v>
      </c>
      <c r="D37" s="7" t="s">
        <v>89</v>
      </c>
      <c r="E37" s="22">
        <v>480</v>
      </c>
    </row>
    <row r="38" spans="1:11" ht="29" x14ac:dyDescent="0.35">
      <c r="A38" s="7" t="s">
        <v>95</v>
      </c>
      <c r="B38" s="9" t="s">
        <v>97</v>
      </c>
      <c r="C38" s="8" t="s">
        <v>96</v>
      </c>
      <c r="D38" s="7" t="s">
        <v>89</v>
      </c>
      <c r="E38" s="22">
        <v>120</v>
      </c>
    </row>
    <row r="39" spans="1:11" ht="29" x14ac:dyDescent="0.35">
      <c r="A39" s="7" t="s">
        <v>134</v>
      </c>
      <c r="B39" s="9" t="s">
        <v>136</v>
      </c>
      <c r="C39" s="8" t="s">
        <v>135</v>
      </c>
      <c r="D39" s="7" t="s">
        <v>43</v>
      </c>
      <c r="E39" s="22">
        <v>330</v>
      </c>
    </row>
    <row r="40" spans="1:11" x14ac:dyDescent="0.35">
      <c r="A40" s="7" t="s">
        <v>137</v>
      </c>
      <c r="B40" s="9" t="s">
        <v>139</v>
      </c>
      <c r="C40" s="8" t="s">
        <v>138</v>
      </c>
      <c r="D40" s="7" t="s">
        <v>43</v>
      </c>
      <c r="E40" s="22">
        <v>350</v>
      </c>
    </row>
    <row r="41" spans="1:11" ht="29" x14ac:dyDescent="0.35">
      <c r="A41" s="7" t="s">
        <v>140</v>
      </c>
      <c r="B41" s="9" t="s">
        <v>142</v>
      </c>
      <c r="C41" s="8" t="s">
        <v>141</v>
      </c>
      <c r="D41" s="7" t="s">
        <v>43</v>
      </c>
      <c r="E41" s="22">
        <v>260</v>
      </c>
    </row>
    <row r="42" spans="1:11" ht="29" x14ac:dyDescent="0.35">
      <c r="A42" s="7" t="s">
        <v>143</v>
      </c>
      <c r="B42" s="9" t="s">
        <v>145</v>
      </c>
      <c r="C42" s="8" t="s">
        <v>144</v>
      </c>
      <c r="D42" s="7" t="s">
        <v>43</v>
      </c>
      <c r="E42" s="22">
        <v>250</v>
      </c>
    </row>
    <row r="43" spans="1:11" x14ac:dyDescent="0.35">
      <c r="A43" s="7" t="s">
        <v>146</v>
      </c>
      <c r="B43" s="9" t="s">
        <v>148</v>
      </c>
      <c r="C43" s="8" t="s">
        <v>147</v>
      </c>
      <c r="D43" s="7" t="s">
        <v>43</v>
      </c>
      <c r="E43" s="22">
        <v>185</v>
      </c>
    </row>
    <row r="44" spans="1:11" x14ac:dyDescent="0.35">
      <c r="A44" s="7" t="s">
        <v>149</v>
      </c>
      <c r="B44" s="9" t="s">
        <v>151</v>
      </c>
      <c r="C44" s="8" t="s">
        <v>150</v>
      </c>
      <c r="D44" s="7" t="s">
        <v>43</v>
      </c>
      <c r="E44" s="22">
        <v>270</v>
      </c>
    </row>
    <row r="45" spans="1:11" ht="29" x14ac:dyDescent="0.35">
      <c r="A45" s="7" t="s">
        <v>152</v>
      </c>
      <c r="B45" s="9" t="s">
        <v>154</v>
      </c>
      <c r="C45" s="8" t="s">
        <v>153</v>
      </c>
      <c r="D45" s="7" t="s">
        <v>43</v>
      </c>
      <c r="E45" s="22">
        <v>4200</v>
      </c>
    </row>
    <row r="46" spans="1:11" x14ac:dyDescent="0.35">
      <c r="A46" s="7" t="s">
        <v>155</v>
      </c>
      <c r="B46" s="9" t="s">
        <v>157</v>
      </c>
      <c r="C46" s="8" t="s">
        <v>156</v>
      </c>
      <c r="D46" s="7" t="s">
        <v>43</v>
      </c>
      <c r="E46" s="22">
        <v>300</v>
      </c>
    </row>
    <row r="47" spans="1:11" x14ac:dyDescent="0.35">
      <c r="A47" s="7" t="s">
        <v>158</v>
      </c>
      <c r="B47" s="9" t="s">
        <v>160</v>
      </c>
      <c r="C47" s="8" t="s">
        <v>159</v>
      </c>
      <c r="D47" s="7" t="s">
        <v>43</v>
      </c>
      <c r="E47" s="22">
        <v>2300</v>
      </c>
    </row>
    <row r="48" spans="1:11" x14ac:dyDescent="0.35">
      <c r="A48" s="7" t="s">
        <v>161</v>
      </c>
      <c r="B48" s="9" t="s">
        <v>163</v>
      </c>
      <c r="C48" s="8" t="s">
        <v>162</v>
      </c>
      <c r="D48" s="7" t="s">
        <v>164</v>
      </c>
      <c r="E48" s="22">
        <v>750000</v>
      </c>
    </row>
    <row r="49" spans="1:5" x14ac:dyDescent="0.35">
      <c r="A49" s="7" t="s">
        <v>165</v>
      </c>
      <c r="B49" s="9" t="s">
        <v>167</v>
      </c>
      <c r="C49" s="8" t="s">
        <v>166</v>
      </c>
      <c r="D49" s="7" t="s">
        <v>33</v>
      </c>
      <c r="E49" s="22">
        <f>CRebar+CFixing</f>
        <v>41000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26</vt:i4>
      </vt:variant>
    </vt:vector>
  </HeadingPairs>
  <TitlesOfParts>
    <vt:vector size="30" baseType="lpstr">
      <vt:lpstr>Read me</vt:lpstr>
      <vt:lpstr>Price list</vt:lpstr>
      <vt:lpstr>Inputs</vt:lpstr>
      <vt:lpstr>Construction</vt:lpstr>
      <vt:lpstr>CCasting</vt:lpstr>
      <vt:lpstr>CCement</vt:lpstr>
      <vt:lpstr>CCementBrick</vt:lpstr>
      <vt:lpstr>CFixing</vt:lpstr>
      <vt:lpstr>CFormwork</vt:lpstr>
      <vt:lpstr>CLabour12</vt:lpstr>
      <vt:lpstr>CLabour25</vt:lpstr>
      <vt:lpstr>CMortar</vt:lpstr>
      <vt:lpstr>Consumables</vt:lpstr>
      <vt:lpstr>CorrugatedInstall</vt:lpstr>
      <vt:lpstr>CorrugatedSupply</vt:lpstr>
      <vt:lpstr>CPlain</vt:lpstr>
      <vt:lpstr>CPump</vt:lpstr>
      <vt:lpstr>CReadyMix</vt:lpstr>
      <vt:lpstr>CRebar</vt:lpstr>
      <vt:lpstr>CRedBrick</vt:lpstr>
      <vt:lpstr>CSand</vt:lpstr>
      <vt:lpstr>FabMetal</vt:lpstr>
      <vt:lpstr>FabStructure</vt:lpstr>
      <vt:lpstr>Materials</vt:lpstr>
      <vt:lpstr>Paint</vt:lpstr>
      <vt:lpstr>SandwichInstall</vt:lpstr>
      <vt:lpstr>SandwichSupply</vt:lpstr>
      <vt:lpstr>Transport</vt:lpstr>
      <vt:lpstr>WasteMetal</vt:lpstr>
      <vt:lpstr>WasteStructure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MINA MINA NAN</cp:lastModifiedBy>
  <dcterms:created xsi:type="dcterms:W3CDTF">2026-10-03T08:29:14Z</dcterms:created>
  <dcterms:modified xsi:type="dcterms:W3CDTF">2026-10-03T08:29:25Z</dcterms:modified>
</cp:coreProperties>
</file>